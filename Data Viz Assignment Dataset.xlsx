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graham/Documents/Western/PhD/Intro to R/Data Viz Assignment/"/>
    </mc:Choice>
  </mc:AlternateContent>
  <xr:revisionPtr revIDLastSave="0" documentId="13_ncr:1_{68890A44-B3A8-8B4C-8E83-FBEC24EC6FFF}" xr6:coauthVersionLast="47" xr6:coauthVersionMax="47" xr10:uidLastSave="{00000000-0000-0000-0000-000000000000}"/>
  <bookViews>
    <workbookView xWindow="12200" yWindow="760" windowWidth="18000" windowHeight="17740" xr2:uid="{111DCD84-C09D-C940-B3DD-3E6E4AFF8E52}"/>
  </bookViews>
  <sheets>
    <sheet name="Sheet1" sheetId="1" r:id="rId1"/>
  </sheets>
  <definedNames>
    <definedName name="_xlnm._FilterDatabase" localSheetId="0" hidden="1">Sheet1!$I$1:$I$102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4" i="1" l="1"/>
  <c r="H30" i="1"/>
  <c r="G101" i="1"/>
  <c r="H101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5" i="1"/>
  <c r="H25" i="1" s="1"/>
  <c r="G26" i="1"/>
  <c r="H26" i="1" s="1"/>
  <c r="G27" i="1"/>
  <c r="H27" i="1" s="1"/>
  <c r="G28" i="1"/>
  <c r="H28" i="1" s="1"/>
  <c r="G29" i="1"/>
  <c r="H29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2" i="1"/>
  <c r="H2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</calcChain>
</file>

<file path=xl/sharedStrings.xml><?xml version="1.0" encoding="utf-8"?>
<sst xmlns="http://schemas.openxmlformats.org/spreadsheetml/2006/main" count="511" uniqueCount="133">
  <si>
    <t>Movie Title</t>
  </si>
  <si>
    <t>Year</t>
  </si>
  <si>
    <t>Inflation-Adjusted Box Office</t>
  </si>
  <si>
    <t>Ne Zha 2</t>
  </si>
  <si>
    <t>Zootopia 2</t>
  </si>
  <si>
    <t>Avatar: Fire and Ash</t>
  </si>
  <si>
    <t>Lilo &amp; Stitch</t>
  </si>
  <si>
    <t>A Minecraft Movie</t>
  </si>
  <si>
    <t>Inside Out 2</t>
  </si>
  <si>
    <t>Deadpool &amp; Wolverine</t>
  </si>
  <si>
    <t>Moana 2</t>
  </si>
  <si>
    <t>Despicable Me 4</t>
  </si>
  <si>
    <t>Wicked</t>
  </si>
  <si>
    <t>Worldwide Box Office</t>
  </si>
  <si>
    <t>Barbie</t>
  </si>
  <si>
    <t>The Super Mario Bros. Movie</t>
  </si>
  <si>
    <t>Oppenheimer</t>
  </si>
  <si>
    <t>Guardians of the Galaxy Vol. 3</t>
  </si>
  <si>
    <t>Fast X</t>
  </si>
  <si>
    <t>Avatar: The Way of Water</t>
  </si>
  <si>
    <t>Top Gun: Maverick</t>
  </si>
  <si>
    <t>Jurassic World: Dominion</t>
  </si>
  <si>
    <t>Doctor Strange in the Multiverse of Madness</t>
  </si>
  <si>
    <t>Minions: The Rise of Gru</t>
  </si>
  <si>
    <t>Spider-Man: No Way Home</t>
  </si>
  <si>
    <t>The Battle at Lake Changjin</t>
  </si>
  <si>
    <t>Hi, Mom</t>
  </si>
  <si>
    <t>No Time to Die</t>
  </si>
  <si>
    <t>F9: The Fast Saga</t>
  </si>
  <si>
    <t>Demon Slayer: Kimetsu no Yaiba - The Movie: Mugen Train</t>
  </si>
  <si>
    <t>The Eight Hundred</t>
  </si>
  <si>
    <t>Bad Boys for Life</t>
  </si>
  <si>
    <t>My People, My Homeland</t>
  </si>
  <si>
    <t>Tenet</t>
  </si>
  <si>
    <t>Avengers: Endgame</t>
  </si>
  <si>
    <t>The Lion King</t>
  </si>
  <si>
    <t>Frozen II</t>
  </si>
  <si>
    <t>Spider-Man: Far from Home</t>
  </si>
  <si>
    <t>Captain Marvel</t>
  </si>
  <si>
    <t>Avengers: Infinity War</t>
  </si>
  <si>
    <t>Black Panther</t>
  </si>
  <si>
    <t>Jurassic World: Fallen Kingdom</t>
  </si>
  <si>
    <t>Incredibles 2</t>
  </si>
  <si>
    <t>Aquaman</t>
  </si>
  <si>
    <t>Star Wars: Episode VIII - The Last Jedi</t>
  </si>
  <si>
    <t>Beauty and the Beast</t>
  </si>
  <si>
    <t>The Fate of the Furious</t>
  </si>
  <si>
    <t>Despicable Me 3</t>
  </si>
  <si>
    <t>Jumanji: Welcome to the Jungle</t>
  </si>
  <si>
    <t>Captain America: Civil War</t>
  </si>
  <si>
    <t>Rogue One: A Star Wars Story</t>
  </si>
  <si>
    <t>Finding Dory</t>
  </si>
  <si>
    <t>Zootopia</t>
  </si>
  <si>
    <t>The Jungle Book</t>
  </si>
  <si>
    <t>Star Wars: Episode VII - The Force Awakens</t>
  </si>
  <si>
    <t>Jurassic World</t>
  </si>
  <si>
    <t>Furious 7</t>
  </si>
  <si>
    <t>Avengers: Age of Ultron</t>
  </si>
  <si>
    <t>Minions</t>
  </si>
  <si>
    <t>Transformers: Age of Extinction</t>
  </si>
  <si>
    <t>The Hobbit: The Battle of the Five Armies</t>
  </si>
  <si>
    <t>Guardians of the Galaxy</t>
  </si>
  <si>
    <t>Maleficent</t>
  </si>
  <si>
    <t>The Hunger Games: Mockingjay - Part 1</t>
  </si>
  <si>
    <t>Frozen</t>
  </si>
  <si>
    <t>Iron Man 3</t>
  </si>
  <si>
    <t>Despicable Me 2</t>
  </si>
  <si>
    <t>The Hobbit: The Desolation of Smaug</t>
  </si>
  <si>
    <t>The Hunger Games: Catching Fire</t>
  </si>
  <si>
    <t>The Avengers</t>
  </si>
  <si>
    <t>Skyfall</t>
  </si>
  <si>
    <t>The Dark Knight Rises</t>
  </si>
  <si>
    <t>The Hobbit: An Unexpected Journey</t>
  </si>
  <si>
    <t>Ice Age: Continental Drift</t>
  </si>
  <si>
    <t>Harry Potter and the Deathly Hallows: Part 2</t>
  </si>
  <si>
    <t>Transformers: Dark of the Moon</t>
  </si>
  <si>
    <t>Pirates of the Caribbean: On Stranger Tides</t>
  </si>
  <si>
    <t>The Twilight Saga: Breaking Dawn - Part 1</t>
  </si>
  <si>
    <t>Mission: Impossible - Ghost Protocol</t>
  </si>
  <si>
    <t>Toy Story 3</t>
  </si>
  <si>
    <t>Alice in Wonderland</t>
  </si>
  <si>
    <t>Harry Potter and the Deathly Hallows: Part 1</t>
  </si>
  <si>
    <t>Inception</t>
  </si>
  <si>
    <t>Shrek Forever After</t>
  </si>
  <si>
    <t>Avatar</t>
  </si>
  <si>
    <t>Harry Potter and the Half-Blood Prince</t>
  </si>
  <si>
    <t>Ice Age: Dawn of the Dinosaurs</t>
  </si>
  <si>
    <t>Transformers: Revenge of the Fallen</t>
  </si>
  <si>
    <t>The Dark Knight</t>
  </si>
  <si>
    <t>Indiana Jones and the Kingdom of the Crystal Skull</t>
  </si>
  <si>
    <t>Kung Fu Panda</t>
  </si>
  <si>
    <t>Hancock</t>
  </si>
  <si>
    <t>Mamma Mia!</t>
  </si>
  <si>
    <t>Pirates of the Caribbean: At World's End</t>
  </si>
  <si>
    <t>Harry Potter and the Order of the Phoenix</t>
  </si>
  <si>
    <t>Spider-Man 3</t>
  </si>
  <si>
    <t>Shrek the Third</t>
  </si>
  <si>
    <t>Transformers</t>
  </si>
  <si>
    <t>Pirates of the Caribbean: Dead Man's Chest</t>
  </si>
  <si>
    <t>The Da Vinci Code</t>
  </si>
  <si>
    <t>Ice Age 2: The Meltdown</t>
  </si>
  <si>
    <t>Casino Royale</t>
  </si>
  <si>
    <t>Night at the Museum</t>
  </si>
  <si>
    <t>Movie</t>
  </si>
  <si>
    <t>Demon Slayer: Mugen Train</t>
  </si>
  <si>
    <t>Spider-Man: Far From Home</t>
  </si>
  <si>
    <t>The Hunger Games: Mockingjay – Part 1</t>
  </si>
  <si>
    <t>Mission: Impossible – Ghost Protocol</t>
  </si>
  <si>
    <t>90-Day Rotten Tomatoes critic score</t>
  </si>
  <si>
    <t>90-Day Rotten Tomatoes audience score</t>
  </si>
  <si>
    <t>#</t>
  </si>
  <si>
    <t>Jurassic World Dominion</t>
  </si>
  <si>
    <t>Star Wars: Episode VIII – The Last Jedi</t>
  </si>
  <si>
    <t>Star Wars: Episode VII – The Force Awakens</t>
  </si>
  <si>
    <t>The Twilight Saga: Breaking Dawn – Part 1</t>
  </si>
  <si>
    <t>Franchise/Sequel?</t>
  </si>
  <si>
    <t>Yes</t>
  </si>
  <si>
    <t>No</t>
  </si>
  <si>
    <t>Sequel or well-known IP?</t>
  </si>
  <si>
    <t>90-Day Critic vs. Audience</t>
  </si>
  <si>
    <t>Absolute Value Critic vs. Audience</t>
  </si>
  <si>
    <t>Genre</t>
  </si>
  <si>
    <t>Action</t>
  </si>
  <si>
    <t>Kids &amp; Family</t>
  </si>
  <si>
    <t>Sci-Fi</t>
  </si>
  <si>
    <t>Comedy</t>
  </si>
  <si>
    <t>Biography</t>
  </si>
  <si>
    <t>War</t>
  </si>
  <si>
    <t>Fantasy</t>
  </si>
  <si>
    <t>Adventure</t>
  </si>
  <si>
    <t>Romance</t>
  </si>
  <si>
    <t>Musical</t>
  </si>
  <si>
    <t>Mystery &amp; Thriller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</si>
</sst>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F111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6" fontId="3" fillId="0" borderId="0" xfId="0" applyNumberFormat="1" applyFont="1"/>
    <xf numFmtId="0" fontId="4" fillId="0" borderId="0" xfId="0" applyFont="1"/>
    <xf numFmtId="0" fontId="5" fillId="0" borderId="0" xfId="0" applyFont="1"/>
    <xf numFmtId="44" fontId="4" fillId="0" borderId="0" xfId="1" applyFont="1"/>
    <xf numFmtId="44" fontId="3" fillId="0" borderId="0" xfId="1" applyFont="1"/>
    <xf numFmtId="44" fontId="5" fillId="0" borderId="0" xfId="1" applyFont="1"/>
    <xf numFmtId="0" fontId="6" fillId="0" borderId="0" xfId="2" applyFont="1"/>
    <xf numFmtId="9" fontId="5" fillId="0" borderId="0" xfId="0" applyNumberFormat="1" applyFont="1"/>
    <xf numFmtId="44" fontId="5" fillId="0" borderId="0" xfId="0" applyNumberFormat="1" applyFont="1"/>
    <xf numFmtId="0" fontId="7" fillId="0" borderId="0" xfId="0" applyFont="1"/>
    <xf numFmtId="9" fontId="4" fillId="0" borderId="0" xfId="0" applyNumberFormat="1" applyFont="1"/>
    <xf numFmtId="10" fontId="5" fillId="0" borderId="0" xfId="0" applyNumberFormat="1" applyFont="1"/>
    <xf numFmtId="10" fontId="3" fillId="0" borderId="0" xfId="0" applyNumberFormat="1" applyFont="1"/>
    <xf numFmtId="44" fontId="4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03937007874015"/>
          <c:y val="5.0925925925925923E-2"/>
          <c:w val="0.84278696412948384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332939632545931"/>
                  <c:y val="-3.4941309419655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Sheet1!$E$2:$E$101</c:f>
              <c:numCache>
                <c:formatCode>0%</c:formatCode>
                <c:ptCount val="100"/>
                <c:pt idx="0">
                  <c:v>0.91</c:v>
                </c:pt>
                <c:pt idx="1">
                  <c:v>0.92</c:v>
                </c:pt>
                <c:pt idx="2">
                  <c:v>0.66</c:v>
                </c:pt>
                <c:pt idx="3">
                  <c:v>0.69</c:v>
                </c:pt>
                <c:pt idx="4">
                  <c:v>0.47</c:v>
                </c:pt>
                <c:pt idx="5">
                  <c:v>0.92</c:v>
                </c:pt>
                <c:pt idx="6">
                  <c:v>0.77</c:v>
                </c:pt>
                <c:pt idx="7">
                  <c:v>0.65</c:v>
                </c:pt>
                <c:pt idx="8">
                  <c:v>0.56000000000000005</c:v>
                </c:pt>
                <c:pt idx="9">
                  <c:v>0.9</c:v>
                </c:pt>
                <c:pt idx="10">
                  <c:v>0.88</c:v>
                </c:pt>
                <c:pt idx="11">
                  <c:v>0.59</c:v>
                </c:pt>
                <c:pt idx="12">
                  <c:v>0.93</c:v>
                </c:pt>
                <c:pt idx="13">
                  <c:v>0.82</c:v>
                </c:pt>
                <c:pt idx="14">
                  <c:v>0.56000000000000005</c:v>
                </c:pt>
                <c:pt idx="15">
                  <c:v>0.76</c:v>
                </c:pt>
                <c:pt idx="16">
                  <c:v>0.96</c:v>
                </c:pt>
                <c:pt idx="17">
                  <c:v>0.28999999999999998</c:v>
                </c:pt>
                <c:pt idx="18">
                  <c:v>0.74</c:v>
                </c:pt>
                <c:pt idx="19">
                  <c:v>0.7</c:v>
                </c:pt>
                <c:pt idx="20">
                  <c:v>0.93</c:v>
                </c:pt>
                <c:pt idx="21">
                  <c:v>0.36</c:v>
                </c:pt>
                <c:pt idx="22">
                  <c:v>0.93</c:v>
                </c:pt>
                <c:pt idx="23">
                  <c:v>0.83</c:v>
                </c:pt>
                <c:pt idx="24">
                  <c:v>0.59</c:v>
                </c:pt>
                <c:pt idx="25">
                  <c:v>0.98</c:v>
                </c:pt>
                <c:pt idx="26">
                  <c:v>0.89</c:v>
                </c:pt>
                <c:pt idx="27">
                  <c:v>0.76</c:v>
                </c:pt>
                <c:pt idx="28">
                  <c:v>0.92</c:v>
                </c:pt>
                <c:pt idx="29">
                  <c:v>0.7</c:v>
                </c:pt>
                <c:pt idx="30">
                  <c:v>0.94</c:v>
                </c:pt>
                <c:pt idx="31">
                  <c:v>0.52</c:v>
                </c:pt>
                <c:pt idx="32" formatCode="0.00%">
                  <c:v>0.77500000000000002</c:v>
                </c:pt>
                <c:pt idx="33">
                  <c:v>0.9</c:v>
                </c:pt>
                <c:pt idx="34">
                  <c:v>0.79</c:v>
                </c:pt>
                <c:pt idx="35">
                  <c:v>0.84</c:v>
                </c:pt>
                <c:pt idx="36">
                  <c:v>0.96</c:v>
                </c:pt>
                <c:pt idx="37">
                  <c:v>0.47</c:v>
                </c:pt>
                <c:pt idx="38">
                  <c:v>0.93</c:v>
                </c:pt>
                <c:pt idx="39" formatCode="0.00%">
                  <c:v>0.65500000000000003</c:v>
                </c:pt>
                <c:pt idx="40">
                  <c:v>0.91</c:v>
                </c:pt>
                <c:pt idx="41">
                  <c:v>0.71</c:v>
                </c:pt>
                <c:pt idx="42">
                  <c:v>0.67</c:v>
                </c:pt>
                <c:pt idx="43">
                  <c:v>0.59</c:v>
                </c:pt>
                <c:pt idx="44">
                  <c:v>0.76</c:v>
                </c:pt>
                <c:pt idx="45">
                  <c:v>0.9</c:v>
                </c:pt>
                <c:pt idx="46">
                  <c:v>0.85</c:v>
                </c:pt>
                <c:pt idx="47">
                  <c:v>0.94</c:v>
                </c:pt>
                <c:pt idx="48">
                  <c:v>0.98</c:v>
                </c:pt>
                <c:pt idx="49">
                  <c:v>0.95</c:v>
                </c:pt>
                <c:pt idx="50">
                  <c:v>0.93</c:v>
                </c:pt>
                <c:pt idx="51">
                  <c:v>0.71</c:v>
                </c:pt>
                <c:pt idx="52">
                  <c:v>0.81</c:v>
                </c:pt>
                <c:pt idx="53">
                  <c:v>0.75</c:v>
                </c:pt>
                <c:pt idx="54">
                  <c:v>0.56000000000000005</c:v>
                </c:pt>
                <c:pt idx="55">
                  <c:v>0.18</c:v>
                </c:pt>
                <c:pt idx="56">
                  <c:v>0.59</c:v>
                </c:pt>
                <c:pt idx="57" formatCode="0.00%">
                  <c:v>0.91500000000000004</c:v>
                </c:pt>
                <c:pt idx="58">
                  <c:v>0.54</c:v>
                </c:pt>
                <c:pt idx="59">
                  <c:v>0.69</c:v>
                </c:pt>
                <c:pt idx="60">
                  <c:v>0.89</c:v>
                </c:pt>
                <c:pt idx="61">
                  <c:v>0.79</c:v>
                </c:pt>
                <c:pt idx="62">
                  <c:v>0.74</c:v>
                </c:pt>
                <c:pt idx="63">
                  <c:v>0.74</c:v>
                </c:pt>
                <c:pt idx="64">
                  <c:v>0.9</c:v>
                </c:pt>
                <c:pt idx="65">
                  <c:v>0.91</c:v>
                </c:pt>
                <c:pt idx="66">
                  <c:v>0.92</c:v>
                </c:pt>
                <c:pt idx="67">
                  <c:v>0.87</c:v>
                </c:pt>
                <c:pt idx="68">
                  <c:v>0.64</c:v>
                </c:pt>
                <c:pt idx="69">
                  <c:v>0.37</c:v>
                </c:pt>
                <c:pt idx="70">
                  <c:v>0.96</c:v>
                </c:pt>
                <c:pt idx="71">
                  <c:v>0.35</c:v>
                </c:pt>
                <c:pt idx="72">
                  <c:v>0.33</c:v>
                </c:pt>
                <c:pt idx="73">
                  <c:v>0.25</c:v>
                </c:pt>
                <c:pt idx="74">
                  <c:v>0.93</c:v>
                </c:pt>
                <c:pt idx="75">
                  <c:v>0.98</c:v>
                </c:pt>
                <c:pt idx="76">
                  <c:v>0.51</c:v>
                </c:pt>
                <c:pt idx="77">
                  <c:v>0.77</c:v>
                </c:pt>
                <c:pt idx="78">
                  <c:v>0.87</c:v>
                </c:pt>
                <c:pt idx="79">
                  <c:v>0.56999999999999995</c:v>
                </c:pt>
                <c:pt idx="80">
                  <c:v>0.82</c:v>
                </c:pt>
                <c:pt idx="81" formatCode="0.00%">
                  <c:v>0.83499999999999996</c:v>
                </c:pt>
                <c:pt idx="82">
                  <c:v>0.46</c:v>
                </c:pt>
                <c:pt idx="83">
                  <c:v>0.2</c:v>
                </c:pt>
                <c:pt idx="84">
                  <c:v>0.39</c:v>
                </c:pt>
                <c:pt idx="85">
                  <c:v>0.94</c:v>
                </c:pt>
                <c:pt idx="86">
                  <c:v>0.78</c:v>
                </c:pt>
                <c:pt idx="87">
                  <c:v>0.87</c:v>
                </c:pt>
                <c:pt idx="88">
                  <c:v>0.41</c:v>
                </c:pt>
                <c:pt idx="89">
                  <c:v>0.55000000000000004</c:v>
                </c:pt>
                <c:pt idx="90">
                  <c:v>0.43</c:v>
                </c:pt>
                <c:pt idx="91">
                  <c:v>0.78</c:v>
                </c:pt>
                <c:pt idx="92">
                  <c:v>0.62</c:v>
                </c:pt>
                <c:pt idx="93">
                  <c:v>0.42</c:v>
                </c:pt>
                <c:pt idx="94">
                  <c:v>0.56999999999999995</c:v>
                </c:pt>
                <c:pt idx="95" formatCode="0.00%">
                  <c:v>0.53500000000000003</c:v>
                </c:pt>
                <c:pt idx="96" formatCode="0.00%">
                  <c:v>0.255</c:v>
                </c:pt>
                <c:pt idx="97" formatCode="0.00%">
                  <c:v>0.56499999999999995</c:v>
                </c:pt>
                <c:pt idx="98">
                  <c:v>0.94</c:v>
                </c:pt>
                <c:pt idx="99">
                  <c:v>0.43</c:v>
                </c:pt>
              </c:numCache>
            </c:numRef>
          </c:xVal>
          <c:yVal>
            <c:numRef>
              <c:f>Sheet1!$F$2:$F$101</c:f>
              <c:numCache>
                <c:formatCode>0%</c:formatCode>
                <c:ptCount val="100"/>
                <c:pt idx="0">
                  <c:v>0.98</c:v>
                </c:pt>
                <c:pt idx="1">
                  <c:v>0.95</c:v>
                </c:pt>
                <c:pt idx="2">
                  <c:v>0.9</c:v>
                </c:pt>
                <c:pt idx="3">
                  <c:v>0.87</c:v>
                </c:pt>
                <c:pt idx="4">
                  <c:v>0.85</c:v>
                </c:pt>
                <c:pt idx="5">
                  <c:v>0.95</c:v>
                </c:pt>
                <c:pt idx="6">
                  <c:v>0.92</c:v>
                </c:pt>
                <c:pt idx="7">
                  <c:v>0.81</c:v>
                </c:pt>
                <c:pt idx="8">
                  <c:v>0.87</c:v>
                </c:pt>
                <c:pt idx="9">
                  <c:v>0.95</c:v>
                </c:pt>
                <c:pt idx="10">
                  <c:v>0.84</c:v>
                </c:pt>
                <c:pt idx="11">
                  <c:v>0.96</c:v>
                </c:pt>
                <c:pt idx="12">
                  <c:v>0.91</c:v>
                </c:pt>
                <c:pt idx="13">
                  <c:v>0.94</c:v>
                </c:pt>
                <c:pt idx="14">
                  <c:v>0.85</c:v>
                </c:pt>
                <c:pt idx="15">
                  <c:v>0.92</c:v>
                </c:pt>
                <c:pt idx="16">
                  <c:v>0.99</c:v>
                </c:pt>
                <c:pt idx="17">
                  <c:v>0.77</c:v>
                </c:pt>
                <c:pt idx="18">
                  <c:v>0.85</c:v>
                </c:pt>
                <c:pt idx="19">
                  <c:v>0.88</c:v>
                </c:pt>
                <c:pt idx="20">
                  <c:v>0.98</c:v>
                </c:pt>
                <c:pt idx="21">
                  <c:v>1</c:v>
                </c:pt>
                <c:pt idx="23">
                  <c:v>0.88</c:v>
                </c:pt>
                <c:pt idx="24">
                  <c:v>0.82</c:v>
                </c:pt>
                <c:pt idx="25">
                  <c:v>0.99</c:v>
                </c:pt>
                <c:pt idx="26">
                  <c:v>0.78</c:v>
                </c:pt>
                <c:pt idx="27">
                  <c:v>0.96</c:v>
                </c:pt>
                <c:pt idx="29">
                  <c:v>0.76</c:v>
                </c:pt>
                <c:pt idx="30">
                  <c:v>0.9</c:v>
                </c:pt>
                <c:pt idx="31">
                  <c:v>0.88</c:v>
                </c:pt>
                <c:pt idx="32">
                  <c:v>0.92</c:v>
                </c:pt>
                <c:pt idx="33">
                  <c:v>0.95</c:v>
                </c:pt>
                <c:pt idx="34">
                  <c:v>0.56000000000000005</c:v>
                </c:pt>
                <c:pt idx="35" formatCode="0.00%">
                  <c:v>0.91500000000000004</c:v>
                </c:pt>
                <c:pt idx="36">
                  <c:v>0.79</c:v>
                </c:pt>
                <c:pt idx="37">
                  <c:v>0.48</c:v>
                </c:pt>
                <c:pt idx="38">
                  <c:v>0.9</c:v>
                </c:pt>
                <c:pt idx="39">
                  <c:v>0.73</c:v>
                </c:pt>
                <c:pt idx="40">
                  <c:v>0.48</c:v>
                </c:pt>
                <c:pt idx="41">
                  <c:v>0.8</c:v>
                </c:pt>
                <c:pt idx="42" formatCode="0.00%">
                  <c:v>0.71499999999999997</c:v>
                </c:pt>
                <c:pt idx="43">
                  <c:v>0.53</c:v>
                </c:pt>
                <c:pt idx="44">
                  <c:v>0.87</c:v>
                </c:pt>
                <c:pt idx="45">
                  <c:v>0.89</c:v>
                </c:pt>
                <c:pt idx="46">
                  <c:v>0.87</c:v>
                </c:pt>
                <c:pt idx="47">
                  <c:v>0.86</c:v>
                </c:pt>
                <c:pt idx="48">
                  <c:v>0.92</c:v>
                </c:pt>
                <c:pt idx="49">
                  <c:v>0.86</c:v>
                </c:pt>
                <c:pt idx="50">
                  <c:v>0.85</c:v>
                </c:pt>
                <c:pt idx="51">
                  <c:v>0.78</c:v>
                </c:pt>
                <c:pt idx="52">
                  <c:v>0.82</c:v>
                </c:pt>
                <c:pt idx="53">
                  <c:v>0.83</c:v>
                </c:pt>
                <c:pt idx="54">
                  <c:v>0.49</c:v>
                </c:pt>
                <c:pt idx="55">
                  <c:v>0.5</c:v>
                </c:pt>
                <c:pt idx="56">
                  <c:v>0.74</c:v>
                </c:pt>
                <c:pt idx="57">
                  <c:v>0.92</c:v>
                </c:pt>
                <c:pt idx="58">
                  <c:v>0.7</c:v>
                </c:pt>
                <c:pt idx="59">
                  <c:v>0.71</c:v>
                </c:pt>
                <c:pt idx="60">
                  <c:v>0.85</c:v>
                </c:pt>
                <c:pt idx="61">
                  <c:v>0.78</c:v>
                </c:pt>
                <c:pt idx="62">
                  <c:v>0.85</c:v>
                </c:pt>
                <c:pt idx="63">
                  <c:v>0.85</c:v>
                </c:pt>
                <c:pt idx="64">
                  <c:v>0.89</c:v>
                </c:pt>
                <c:pt idx="65">
                  <c:v>0.91</c:v>
                </c:pt>
                <c:pt idx="66">
                  <c:v>0.86</c:v>
                </c:pt>
                <c:pt idx="67">
                  <c:v>0.9</c:v>
                </c:pt>
                <c:pt idx="68">
                  <c:v>0.83</c:v>
                </c:pt>
                <c:pt idx="69">
                  <c:v>0.62</c:v>
                </c:pt>
                <c:pt idx="70">
                  <c:v>0.89</c:v>
                </c:pt>
                <c:pt idx="71">
                  <c:v>0.55000000000000004</c:v>
                </c:pt>
                <c:pt idx="72">
                  <c:v>0.54</c:v>
                </c:pt>
                <c:pt idx="73">
                  <c:v>0.55000000000000004</c:v>
                </c:pt>
                <c:pt idx="74">
                  <c:v>0.86</c:v>
                </c:pt>
                <c:pt idx="75">
                  <c:v>0.89</c:v>
                </c:pt>
                <c:pt idx="76">
                  <c:v>0.55000000000000004</c:v>
                </c:pt>
                <c:pt idx="77">
                  <c:v>0.85</c:v>
                </c:pt>
                <c:pt idx="78">
                  <c:v>0.91</c:v>
                </c:pt>
                <c:pt idx="79">
                  <c:v>0.54</c:v>
                </c:pt>
                <c:pt idx="80">
                  <c:v>0.82</c:v>
                </c:pt>
                <c:pt idx="81">
                  <c:v>0.78</c:v>
                </c:pt>
                <c:pt idx="82">
                  <c:v>0.63</c:v>
                </c:pt>
                <c:pt idx="83">
                  <c:v>0.56999999999999995</c:v>
                </c:pt>
                <c:pt idx="84">
                  <c:v>0.52</c:v>
                </c:pt>
                <c:pt idx="85">
                  <c:v>0.94</c:v>
                </c:pt>
                <c:pt idx="86">
                  <c:v>0.54</c:v>
                </c:pt>
                <c:pt idx="87">
                  <c:v>0.83</c:v>
                </c:pt>
                <c:pt idx="88">
                  <c:v>0.59</c:v>
                </c:pt>
                <c:pt idx="89">
                  <c:v>0.66</c:v>
                </c:pt>
                <c:pt idx="90">
                  <c:v>0.72</c:v>
                </c:pt>
                <c:pt idx="91">
                  <c:v>0.81</c:v>
                </c:pt>
                <c:pt idx="92">
                  <c:v>0.51</c:v>
                </c:pt>
                <c:pt idx="93">
                  <c:v>0.52</c:v>
                </c:pt>
                <c:pt idx="94">
                  <c:v>0.85</c:v>
                </c:pt>
                <c:pt idx="95">
                  <c:v>0.72</c:v>
                </c:pt>
                <c:pt idx="96">
                  <c:v>0.56999999999999995</c:v>
                </c:pt>
                <c:pt idx="97">
                  <c:v>0.71</c:v>
                </c:pt>
                <c:pt idx="98">
                  <c:v>0.9</c:v>
                </c:pt>
                <c:pt idx="99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3-0F4D-BFF3-0BD4C5FDC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957183"/>
        <c:axId val="899517535"/>
      </c:scatterChart>
      <c:valAx>
        <c:axId val="70395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517535"/>
        <c:crosses val="autoZero"/>
        <c:crossBetween val="midCat"/>
      </c:valAx>
      <c:valAx>
        <c:axId val="89951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95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321434</xdr:colOff>
      <xdr:row>44</xdr:row>
      <xdr:rowOff>27648</xdr:rowOff>
    </xdr:from>
    <xdr:to>
      <xdr:col>15</xdr:col>
      <xdr:colOff>206797</xdr:colOff>
      <xdr:row>57</xdr:row>
      <xdr:rowOff>140937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7EE018-161B-0FE5-18A0-5FBECAC13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xofficemojo.com/releasegroup/gr2409976325/?ref_=bo_ydw_table_1" TargetMode="External"/><Relationship Id="rId21" Type="http://schemas.openxmlformats.org/officeDocument/2006/relationships/hyperlink" Target="https://www.boxofficemojo.com/releasegroup/gr3957150213/?ref_=bo_ydw_table_1" TargetMode="External"/><Relationship Id="rId42" Type="http://schemas.openxmlformats.org/officeDocument/2006/relationships/hyperlink" Target="https://www.boxofficemojo.com/releasegroup/gr1429688837/?ref_=bo_ydw_table_2" TargetMode="External"/><Relationship Id="rId47" Type="http://schemas.openxmlformats.org/officeDocument/2006/relationships/hyperlink" Target="https://www.boxofficemojo.com/releasegroup/gr384520709/?ref_=bo_ydw_table_2" TargetMode="External"/><Relationship Id="rId63" Type="http://schemas.openxmlformats.org/officeDocument/2006/relationships/hyperlink" Target="https://www.boxofficemojo.com/releasegroup/gr3123335685/?ref_=bo_ydw_table_3" TargetMode="External"/><Relationship Id="rId68" Type="http://schemas.openxmlformats.org/officeDocument/2006/relationships/hyperlink" Target="https://www.boxofficemojo.com/releasegroup/gr808210949/?ref_=bo_ydw_table_3" TargetMode="External"/><Relationship Id="rId84" Type="http://schemas.openxmlformats.org/officeDocument/2006/relationships/hyperlink" Target="https://www.boxofficemojo.com/releasegroup/gr3638907397/?ref_=bo_ydw_table_4" TargetMode="External"/><Relationship Id="rId89" Type="http://schemas.openxmlformats.org/officeDocument/2006/relationships/hyperlink" Target="https://www.boxofficemojo.com/releasegroup/gr3807793669/?ref_=bo_ydw_table_4" TargetMode="External"/><Relationship Id="rId16" Type="http://schemas.openxmlformats.org/officeDocument/2006/relationships/hyperlink" Target="https://www.boxofficemojo.com/releasegroup/gr1943818757/?ref_=bo_ydw_table_1" TargetMode="External"/><Relationship Id="rId11" Type="http://schemas.openxmlformats.org/officeDocument/2006/relationships/hyperlink" Target="https://www.boxofficemojo.com/releasegroup/gr2226213381/?ref_=bo_ydw_table_2" TargetMode="External"/><Relationship Id="rId32" Type="http://schemas.openxmlformats.org/officeDocument/2006/relationships/hyperlink" Target="https://www.boxofficemojo.com/releasegroup/gr403788293/?ref_=bo_ydw_table_2" TargetMode="External"/><Relationship Id="rId37" Type="http://schemas.openxmlformats.org/officeDocument/2006/relationships/hyperlink" Target="https://www.boxofficemojo.com/releasegroup/gr3458290181/?ref_=bo_ydw_table_2" TargetMode="External"/><Relationship Id="rId53" Type="http://schemas.openxmlformats.org/officeDocument/2006/relationships/hyperlink" Target="https://www.boxofficemojo.com/releasegroup/gr2321306117/?ref_=bo_ydw_table_3" TargetMode="External"/><Relationship Id="rId58" Type="http://schemas.openxmlformats.org/officeDocument/2006/relationships/hyperlink" Target="https://www.boxofficemojo.com/releasegroup/gr2312655365/?ref_=bo_ydw_table_3" TargetMode="External"/><Relationship Id="rId74" Type="http://schemas.openxmlformats.org/officeDocument/2006/relationships/hyperlink" Target="https://www.boxofficemojo.com/releasegroup/gr205607429/?ref_=bo_ydw_table_4" TargetMode="External"/><Relationship Id="rId79" Type="http://schemas.openxmlformats.org/officeDocument/2006/relationships/hyperlink" Target="https://www.boxofficemojo.com/releasegroup/gr1400852997/?ref_=bo_ydw_table_4" TargetMode="External"/><Relationship Id="rId5" Type="http://schemas.openxmlformats.org/officeDocument/2006/relationships/hyperlink" Target="https://www.boxofficemojo.com/releasegroup/gr1926910469/?ref_=bo_ydw_table_5" TargetMode="External"/><Relationship Id="rId90" Type="http://schemas.openxmlformats.org/officeDocument/2006/relationships/hyperlink" Target="https://www.boxofficemojo.com/releasegroup/gr3714404869/?ref_=bo_ydw_table_5" TargetMode="External"/><Relationship Id="rId95" Type="http://schemas.openxmlformats.org/officeDocument/2006/relationships/hyperlink" Target="https://www.boxofficemojo.com/releasegroup/gr1764905477/?ref_=bo_ydw_table_5" TargetMode="External"/><Relationship Id="rId22" Type="http://schemas.openxmlformats.org/officeDocument/2006/relationships/hyperlink" Target="https://www.boxofficemojo.com/releasegroup/gr3283177989/?ref_=bo_ydw_table_2" TargetMode="External"/><Relationship Id="rId27" Type="http://schemas.openxmlformats.org/officeDocument/2006/relationships/hyperlink" Target="https://www.boxofficemojo.com/releasegroup/gr832590341/?ref_=bo_ydw_table_2" TargetMode="External"/><Relationship Id="rId43" Type="http://schemas.openxmlformats.org/officeDocument/2006/relationships/hyperlink" Target="https://www.boxofficemojo.com/releasegroup/gr38949381/?ref_=bo_ydw_table_3" TargetMode="External"/><Relationship Id="rId48" Type="http://schemas.openxmlformats.org/officeDocument/2006/relationships/hyperlink" Target="https://www.boxofficemojo.com/releasegroup/gr1869238789/?ref_=bo_ydw_table_3" TargetMode="External"/><Relationship Id="rId64" Type="http://schemas.openxmlformats.org/officeDocument/2006/relationships/hyperlink" Target="https://www.boxofficemojo.com/releasegroup/gr1101746693/?ref_=bo_ydw_table_4" TargetMode="External"/><Relationship Id="rId69" Type="http://schemas.openxmlformats.org/officeDocument/2006/relationships/hyperlink" Target="https://www.boxofficemojo.com/releasegroup/gr769020421/?ref_=bo_ydw_table_4" TargetMode="External"/><Relationship Id="rId80" Type="http://schemas.openxmlformats.org/officeDocument/2006/relationships/hyperlink" Target="https://www.boxofficemojo.com/releasegroup/gr2889241093/?ref_=bo_ydw_table_5" TargetMode="External"/><Relationship Id="rId85" Type="http://schemas.openxmlformats.org/officeDocument/2006/relationships/hyperlink" Target="https://www.boxofficemojo.com/releasegroup/gr1717588485/?ref_=bo_ydw_table_5" TargetMode="External"/><Relationship Id="rId3" Type="http://schemas.openxmlformats.org/officeDocument/2006/relationships/hyperlink" Target="https://www.boxofficemojo.com/releasegroup/gr2771014149/?ref_=bo_ydw_table_3" TargetMode="External"/><Relationship Id="rId12" Type="http://schemas.openxmlformats.org/officeDocument/2006/relationships/hyperlink" Target="https://www.boxofficemojo.com/releasegroup/gr531714565/?ref_=bo_ydw_table_3" TargetMode="External"/><Relationship Id="rId17" Type="http://schemas.openxmlformats.org/officeDocument/2006/relationships/hyperlink" Target="https://www.boxofficemojo.com/releasegroup/gr1928614405/?ref_=bo_ydw_table_2" TargetMode="External"/><Relationship Id="rId25" Type="http://schemas.openxmlformats.org/officeDocument/2006/relationships/hyperlink" Target="https://www.boxofficemojo.com/releasegroup/gr1590448645/?ref_=bo_ydw_table_5" TargetMode="External"/><Relationship Id="rId33" Type="http://schemas.openxmlformats.org/officeDocument/2006/relationships/hyperlink" Target="https://www.boxofficemojo.com/releasegroup/gr1030181381/?ref_=bo_ydw_table_3" TargetMode="External"/><Relationship Id="rId38" Type="http://schemas.openxmlformats.org/officeDocument/2006/relationships/hyperlink" Target="https://www.boxofficemojo.com/releasegroup/gr3108917765/?ref_=bo_ydw_table_3" TargetMode="External"/><Relationship Id="rId46" Type="http://schemas.openxmlformats.org/officeDocument/2006/relationships/hyperlink" Target="https://www.boxofficemojo.com/releasegroup/gr2136297989/?ref_=bo_ydw_table_1" TargetMode="External"/><Relationship Id="rId59" Type="http://schemas.openxmlformats.org/officeDocument/2006/relationships/hyperlink" Target="https://www.boxofficemojo.com/releasegroup/gr4064301573/?ref_=bo_ydw_table_4" TargetMode="External"/><Relationship Id="rId67" Type="http://schemas.openxmlformats.org/officeDocument/2006/relationships/hyperlink" Target="https://www.boxofficemojo.com/releasegroup/gr2379174405/?ref_=bo_ydw_table_2" TargetMode="External"/><Relationship Id="rId20" Type="http://schemas.openxmlformats.org/officeDocument/2006/relationships/hyperlink" Target="https://www.boxofficemojo.com/releasegroup/gr101863941/?ref_=bo_ydw_table_5" TargetMode="External"/><Relationship Id="rId41" Type="http://schemas.openxmlformats.org/officeDocument/2006/relationships/hyperlink" Target="https://www.boxofficemojo.com/releasegroup/gr3764736517/?ref_=bo_ydw_table_1" TargetMode="External"/><Relationship Id="rId54" Type="http://schemas.openxmlformats.org/officeDocument/2006/relationships/hyperlink" Target="https://www.boxofficemojo.com/releasegroup/gr1743933957/?ref_=bo_ydw_table_4" TargetMode="External"/><Relationship Id="rId62" Type="http://schemas.openxmlformats.org/officeDocument/2006/relationships/hyperlink" Target="https://www.boxofficemojo.com/releasegroup/gr3316142597/?ref_=bo_ydw_table_2" TargetMode="External"/><Relationship Id="rId70" Type="http://schemas.openxmlformats.org/officeDocument/2006/relationships/hyperlink" Target="https://www.boxofficemojo.com/releasegroup/gr1428443653/?ref_=bo_ydw_table_5" TargetMode="External"/><Relationship Id="rId75" Type="http://schemas.openxmlformats.org/officeDocument/2006/relationships/hyperlink" Target="https://www.boxofficemojo.com/releasegroup/gr2708492805/?ref_=bo_ydw_table_5" TargetMode="External"/><Relationship Id="rId83" Type="http://schemas.openxmlformats.org/officeDocument/2006/relationships/hyperlink" Target="https://www.boxofficemojo.com/releasegroup/gr3339866629/?ref_=bo_ydw_table_3" TargetMode="External"/><Relationship Id="rId88" Type="http://schemas.openxmlformats.org/officeDocument/2006/relationships/hyperlink" Target="https://www.boxofficemojo.com/releasegroup/gr4251996677/?ref_=bo_ydw_table_3" TargetMode="External"/><Relationship Id="rId91" Type="http://schemas.openxmlformats.org/officeDocument/2006/relationships/hyperlink" Target="https://www.boxofficemojo.com/releasegroup/gr1460621829/?ref_=bo_ydw_table_1" TargetMode="External"/><Relationship Id="rId96" Type="http://schemas.openxmlformats.org/officeDocument/2006/relationships/hyperlink" Target="https://www.boxofficemojo.com/releasegroup/gr2621919749/?ref_=bo_ydw_table_1" TargetMode="External"/><Relationship Id="rId1" Type="http://schemas.openxmlformats.org/officeDocument/2006/relationships/hyperlink" Target="https://www.boxofficemojo.com/releasegroup/gr2405716741/?ref_=bo_ydw_table_1" TargetMode="External"/><Relationship Id="rId6" Type="http://schemas.openxmlformats.org/officeDocument/2006/relationships/hyperlink" Target="https://www.boxofficemojo.com/releasegroup/gr2474856965/?ref_=bo_ydw_table_1" TargetMode="External"/><Relationship Id="rId15" Type="http://schemas.openxmlformats.org/officeDocument/2006/relationships/hyperlink" Target="https://www.boxofficemojo.com/releasegroup/gr629756421/?ref_=bo_ydw_table_1" TargetMode="External"/><Relationship Id="rId23" Type="http://schemas.openxmlformats.org/officeDocument/2006/relationships/hyperlink" Target="https://www.boxofficemojo.com/releasegroup/gr565793285/?ref_=bo_ydw_table_3" TargetMode="External"/><Relationship Id="rId28" Type="http://schemas.openxmlformats.org/officeDocument/2006/relationships/hyperlink" Target="https://www.boxofficemojo.com/releasegroup/gr1571181061/?ref_=bo_ydw_table_4" TargetMode="External"/><Relationship Id="rId36" Type="http://schemas.openxmlformats.org/officeDocument/2006/relationships/hyperlink" Target="https://www.boxofficemojo.com/releasegroup/gr3915469317/?ref_=bo_ydw_table_1" TargetMode="External"/><Relationship Id="rId49" Type="http://schemas.openxmlformats.org/officeDocument/2006/relationships/hyperlink" Target="https://www.boxofficemojo.com/releasegroup/gr1680691717/?ref_=bo_ydw_table_4" TargetMode="External"/><Relationship Id="rId57" Type="http://schemas.openxmlformats.org/officeDocument/2006/relationships/hyperlink" Target="https://www.boxofficemojo.com/releasegroup/gr147673605/?ref_=bo_ydw_table_2" TargetMode="External"/><Relationship Id="rId10" Type="http://schemas.openxmlformats.org/officeDocument/2006/relationships/hyperlink" Target="https://www.boxofficemojo.com/releasegroup/gr2907984389/?ref_=bo_ydw_table_5" TargetMode="External"/><Relationship Id="rId31" Type="http://schemas.openxmlformats.org/officeDocument/2006/relationships/hyperlink" Target="https://www.boxofficemojo.com/releasegroup/gr3511898629/?ref_=bo_ydw_table_1" TargetMode="External"/><Relationship Id="rId44" Type="http://schemas.openxmlformats.org/officeDocument/2006/relationships/hyperlink" Target="https://www.boxofficemojo.com/releasegroup/gr1982484997/?ref_=bo_ydw_table_4" TargetMode="External"/><Relationship Id="rId52" Type="http://schemas.openxmlformats.org/officeDocument/2006/relationships/hyperlink" Target="https://www.boxofficemojo.com/releasegroup/gr2960871941/?ref_=bo_ydw_table_2" TargetMode="External"/><Relationship Id="rId60" Type="http://schemas.openxmlformats.org/officeDocument/2006/relationships/hyperlink" Target="https://www.boxofficemojo.com/releasegroup/gr3034403333/?ref_=bo_ydw_table_5" TargetMode="External"/><Relationship Id="rId65" Type="http://schemas.openxmlformats.org/officeDocument/2006/relationships/hyperlink" Target="https://www.boxofficemojo.com/releasegroup/gr150950405/?ref_=bo_ydw_table_5" TargetMode="External"/><Relationship Id="rId73" Type="http://schemas.openxmlformats.org/officeDocument/2006/relationships/hyperlink" Target="https://www.boxofficemojo.com/releasegroup/gr2121159173/?ref_=bo_ydw_table_3" TargetMode="External"/><Relationship Id="rId78" Type="http://schemas.openxmlformats.org/officeDocument/2006/relationships/hyperlink" Target="https://www.boxofficemojo.com/releasegroup/gr1728664069/?ref_=bo_ydw_table_3" TargetMode="External"/><Relationship Id="rId81" Type="http://schemas.openxmlformats.org/officeDocument/2006/relationships/hyperlink" Target="https://www.boxofficemojo.com/releasegroup/gr3486798341/?ref_=bo_ydw_table_1" TargetMode="External"/><Relationship Id="rId86" Type="http://schemas.openxmlformats.org/officeDocument/2006/relationships/hyperlink" Target="https://www.boxofficemojo.com/releasegroup/gr1144476165/?ref_=bo_ydw_table_1" TargetMode="External"/><Relationship Id="rId94" Type="http://schemas.openxmlformats.org/officeDocument/2006/relationships/hyperlink" Target="https://www.boxofficemojo.com/releasegroup/gr3119469061/?ref_=bo_ydw_table_4" TargetMode="External"/><Relationship Id="rId4" Type="http://schemas.openxmlformats.org/officeDocument/2006/relationships/hyperlink" Target="https://www.boxofficemojo.com/releasegroup/gr1868714757/?ref_=bo_ydw_table_4" TargetMode="External"/><Relationship Id="rId9" Type="http://schemas.openxmlformats.org/officeDocument/2006/relationships/hyperlink" Target="https://www.boxofficemojo.com/releasegroup/gr1052004869/?ref_=bo_ydw_table_4" TargetMode="External"/><Relationship Id="rId13" Type="http://schemas.openxmlformats.org/officeDocument/2006/relationships/hyperlink" Target="https://www.boxofficemojo.com/releasegroup/gr1455378949/?ref_=bo_ydw_table_4" TargetMode="External"/><Relationship Id="rId18" Type="http://schemas.openxmlformats.org/officeDocument/2006/relationships/hyperlink" Target="https://www.boxofficemojo.com/releasegroup/gr1700221445/?ref_=bo_ydw_table_3" TargetMode="External"/><Relationship Id="rId39" Type="http://schemas.openxmlformats.org/officeDocument/2006/relationships/hyperlink" Target="https://www.boxofficemojo.com/releasegroup/gr2507690501/?ref_=bo_ydw_table_4" TargetMode="External"/><Relationship Id="rId34" Type="http://schemas.openxmlformats.org/officeDocument/2006/relationships/hyperlink" Target="https://www.boxofficemojo.com/releasegroup/gr1825526277/?ref_=bo_ydw_table_4" TargetMode="External"/><Relationship Id="rId50" Type="http://schemas.openxmlformats.org/officeDocument/2006/relationships/hyperlink" Target="https://www.boxofficemojo.com/releasegroup/gr1103385093/?ref_=bo_ydw_table_5" TargetMode="External"/><Relationship Id="rId55" Type="http://schemas.openxmlformats.org/officeDocument/2006/relationships/hyperlink" Target="https://www.boxofficemojo.com/releasegroup/gr838095365/?ref_=bo_ydw_table_5" TargetMode="External"/><Relationship Id="rId76" Type="http://schemas.openxmlformats.org/officeDocument/2006/relationships/hyperlink" Target="https://www.boxofficemojo.com/releasegroup/gr87839237/?ref_=bo_ydw_table_1" TargetMode="External"/><Relationship Id="rId97" Type="http://schemas.openxmlformats.org/officeDocument/2006/relationships/drawing" Target="../drawings/drawing1.xml"/><Relationship Id="rId7" Type="http://schemas.openxmlformats.org/officeDocument/2006/relationships/hyperlink" Target="https://www.boxofficemojo.com/releasegroup/gr1015239173/?ref_=bo_ydw_table_2" TargetMode="External"/><Relationship Id="rId71" Type="http://schemas.openxmlformats.org/officeDocument/2006/relationships/hyperlink" Target="https://www.boxofficemojo.com/releasegroup/gr2033603077/?ref_=bo_ydw_table_1" TargetMode="External"/><Relationship Id="rId92" Type="http://schemas.openxmlformats.org/officeDocument/2006/relationships/hyperlink" Target="https://www.boxofficemojo.com/releasegroup/gr1575965189/?ref_=bo_ydw_table_2" TargetMode="External"/><Relationship Id="rId2" Type="http://schemas.openxmlformats.org/officeDocument/2006/relationships/hyperlink" Target="https://www.boxofficemojo.com/releasegroup/gr2845135365/?ref_=bo_ydw_table_2" TargetMode="External"/><Relationship Id="rId29" Type="http://schemas.openxmlformats.org/officeDocument/2006/relationships/hyperlink" Target="https://www.boxofficemojo.com/releasegroup/gr3944174085/?ref_=bo_ydw_table_3" TargetMode="External"/><Relationship Id="rId24" Type="http://schemas.openxmlformats.org/officeDocument/2006/relationships/hyperlink" Target="https://www.boxofficemojo.com/releasegroup/gr1812943365/?ref_=bo_ydw_table_4" TargetMode="External"/><Relationship Id="rId40" Type="http://schemas.openxmlformats.org/officeDocument/2006/relationships/hyperlink" Target="https://www.boxofficemojo.com/releasegroup/gr1903186437/?ref_=bo_ydw_table_5" TargetMode="External"/><Relationship Id="rId45" Type="http://schemas.openxmlformats.org/officeDocument/2006/relationships/hyperlink" Target="https://www.boxofficemojo.com/releasegroup/gr2130465285/?ref_=bo_ydw_table_5" TargetMode="External"/><Relationship Id="rId66" Type="http://schemas.openxmlformats.org/officeDocument/2006/relationships/hyperlink" Target="https://www.boxofficemojo.com/releasegroup/gr1911837189/?ref_=bo_ydw_table_1" TargetMode="External"/><Relationship Id="rId87" Type="http://schemas.openxmlformats.org/officeDocument/2006/relationships/hyperlink" Target="https://www.boxofficemojo.com/releasegroup/gr4259205637/?ref_=bo_ydw_table_2" TargetMode="External"/><Relationship Id="rId61" Type="http://schemas.openxmlformats.org/officeDocument/2006/relationships/hyperlink" Target="https://www.boxofficemojo.com/releasegroup/gr1177113093/?ref_=bo_ydw_table_1" TargetMode="External"/><Relationship Id="rId82" Type="http://schemas.openxmlformats.org/officeDocument/2006/relationships/hyperlink" Target="https://www.boxofficemojo.com/releasegroup/gr1638420997/?ref_=bo_ydw_table_2" TargetMode="External"/><Relationship Id="rId19" Type="http://schemas.openxmlformats.org/officeDocument/2006/relationships/hyperlink" Target="https://www.boxofficemojo.com/releasegroup/gr535450117/?ref_=bo_ydw_table_4" TargetMode="External"/><Relationship Id="rId14" Type="http://schemas.openxmlformats.org/officeDocument/2006/relationships/hyperlink" Target="https://www.boxofficemojo.com/releasegroup/gr1410486789/?ref_=bo_ydw_table_5" TargetMode="External"/><Relationship Id="rId30" Type="http://schemas.openxmlformats.org/officeDocument/2006/relationships/hyperlink" Target="https://www.boxofficemojo.com/releasegroup/gr418796037/?ref_=bo_ydw_table_5" TargetMode="External"/><Relationship Id="rId35" Type="http://schemas.openxmlformats.org/officeDocument/2006/relationships/hyperlink" Target="https://www.boxofficemojo.com/releasegroup/gr3085718021/?ref_=bo_ydw_table_5" TargetMode="External"/><Relationship Id="rId56" Type="http://schemas.openxmlformats.org/officeDocument/2006/relationships/hyperlink" Target="https://www.boxofficemojo.com/releasegroup/gr41374213/?ref_=bo_ydw_table_1" TargetMode="External"/><Relationship Id="rId77" Type="http://schemas.openxmlformats.org/officeDocument/2006/relationships/hyperlink" Target="https://www.boxofficemojo.com/releasegroup/gr1992577541/?ref_=bo_ydw_table_2" TargetMode="External"/><Relationship Id="rId8" Type="http://schemas.openxmlformats.org/officeDocument/2006/relationships/hyperlink" Target="https://www.boxofficemojo.com/releasegroup/gr3446166277/?ref_=bo_ydw_table_3" TargetMode="External"/><Relationship Id="rId51" Type="http://schemas.openxmlformats.org/officeDocument/2006/relationships/hyperlink" Target="https://www.boxofficemojo.com/releasegroup/gr3305984517/?ref_=bo_ydw_table_1" TargetMode="External"/><Relationship Id="rId72" Type="http://schemas.openxmlformats.org/officeDocument/2006/relationships/hyperlink" Target="https://www.boxofficemojo.com/releasegroup/gr6312453/?ref_=bo_ydw_table_2" TargetMode="External"/><Relationship Id="rId93" Type="http://schemas.openxmlformats.org/officeDocument/2006/relationships/hyperlink" Target="https://www.boxofficemojo.com/releasegroup/gr4067512837/?ref_=bo_ydw_table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C6E9-8E5E-9C4E-A3FD-B4429BD4C48F}">
  <dimension ref="A1:BJ102"/>
  <sheetViews>
    <sheetView tabSelected="1" topLeftCell="D1" zoomScale="113" workbookViewId="0">
      <selection activeCell="E7" sqref="E7"/>
    </sheetView>
  </sheetViews>
  <sheetFormatPr baseColWidth="10" defaultRowHeight="16" x14ac:dyDescent="0.2"/>
  <cols>
    <col min="1" max="2" width="10.83203125" style="3"/>
    <col min="3" max="3" width="22.6640625" style="6" bestFit="1" customWidth="1"/>
    <col min="4" max="4" width="25.33203125" style="6" bestFit="1" customWidth="1"/>
    <col min="5" max="5" width="10.83203125" style="3" customWidth="1"/>
    <col min="6" max="8" width="9.6640625" style="3" customWidth="1"/>
    <col min="9" max="11" width="10.83203125" style="3"/>
    <col min="12" max="15" width="18.5" style="3" bestFit="1" customWidth="1"/>
    <col min="16" max="16384" width="10.83203125" style="3"/>
  </cols>
  <sheetData>
    <row r="1" spans="1:62" s="2" customFormat="1" x14ac:dyDescent="0.2">
      <c r="A1" s="2" t="s">
        <v>1</v>
      </c>
      <c r="B1" s="2" t="s">
        <v>0</v>
      </c>
      <c r="C1" s="4" t="s">
        <v>13</v>
      </c>
      <c r="D1" s="4" t="s">
        <v>2</v>
      </c>
      <c r="E1" s="2" t="s">
        <v>108</v>
      </c>
      <c r="F1" s="2" t="s">
        <v>109</v>
      </c>
      <c r="G1" s="2" t="s">
        <v>119</v>
      </c>
      <c r="H1" s="2" t="s">
        <v>120</v>
      </c>
      <c r="I1" s="2" t="s">
        <v>118</v>
      </c>
      <c r="J1" s="2" t="s">
        <v>121</v>
      </c>
      <c r="M1" s="3"/>
    </row>
    <row r="2" spans="1:62" x14ac:dyDescent="0.2">
      <c r="A2" s="3">
        <v>2025</v>
      </c>
      <c r="B2" s="7" t="s">
        <v>3</v>
      </c>
      <c r="C2" s="5">
        <v>2270700370</v>
      </c>
      <c r="D2" s="5">
        <v>2270700370</v>
      </c>
      <c r="E2" s="8">
        <v>0.91</v>
      </c>
      <c r="F2" s="8">
        <v>0.98</v>
      </c>
      <c r="G2" s="8">
        <f>F2-E2</f>
        <v>6.9999999999999951E-2</v>
      </c>
      <c r="H2" s="8">
        <f>ABS(G2)</f>
        <v>6.9999999999999951E-2</v>
      </c>
      <c r="I2" s="3" t="s">
        <v>116</v>
      </c>
      <c r="J2" s="3" t="s">
        <v>122</v>
      </c>
      <c r="L2" s="9"/>
      <c r="N2" s="9"/>
      <c r="O2" s="9"/>
      <c r="S2" s="10"/>
      <c r="T2" s="2"/>
      <c r="U2" s="11"/>
      <c r="BH2" s="2" t="s">
        <v>110</v>
      </c>
      <c r="BI2" s="2" t="s">
        <v>103</v>
      </c>
      <c r="BJ2" s="2" t="s">
        <v>115</v>
      </c>
    </row>
    <row r="3" spans="1:62" x14ac:dyDescent="0.2">
      <c r="A3" s="3">
        <v>2025</v>
      </c>
      <c r="B3" s="7" t="s">
        <v>4</v>
      </c>
      <c r="C3" s="5">
        <v>1866647950</v>
      </c>
      <c r="D3" s="5">
        <v>1866647950</v>
      </c>
      <c r="E3" s="8">
        <v>0.92</v>
      </c>
      <c r="F3" s="8">
        <v>0.95</v>
      </c>
      <c r="G3" s="8">
        <f t="shared" ref="G3:G66" si="0">F3-E3</f>
        <v>2.9999999999999916E-2</v>
      </c>
      <c r="H3" s="8">
        <f t="shared" ref="H3:H66" si="1">ABS(G3)</f>
        <v>2.9999999999999916E-2</v>
      </c>
      <c r="I3" s="3" t="s">
        <v>116</v>
      </c>
      <c r="J3" s="3" t="s">
        <v>123</v>
      </c>
      <c r="L3" s="9"/>
      <c r="N3" s="9"/>
      <c r="O3" s="9"/>
      <c r="S3" s="10"/>
      <c r="T3" s="2"/>
      <c r="U3" s="11"/>
      <c r="BH3" s="3">
        <v>1</v>
      </c>
      <c r="BI3" s="10" t="s">
        <v>3</v>
      </c>
      <c r="BJ3" s="2" t="s">
        <v>116</v>
      </c>
    </row>
    <row r="4" spans="1:62" x14ac:dyDescent="0.2">
      <c r="A4" s="3">
        <v>2025</v>
      </c>
      <c r="B4" s="7" t="s">
        <v>5</v>
      </c>
      <c r="C4" s="5">
        <v>1485999890</v>
      </c>
      <c r="D4" s="5">
        <v>1485999890</v>
      </c>
      <c r="E4" s="8">
        <v>0.66</v>
      </c>
      <c r="F4" s="8">
        <v>0.9</v>
      </c>
      <c r="G4" s="8">
        <f t="shared" si="0"/>
        <v>0.24</v>
      </c>
      <c r="H4" s="8">
        <f t="shared" si="1"/>
        <v>0.24</v>
      </c>
      <c r="I4" s="3" t="s">
        <v>116</v>
      </c>
      <c r="J4" s="3" t="s">
        <v>124</v>
      </c>
      <c r="L4" s="9"/>
      <c r="O4" s="9"/>
      <c r="S4" s="10"/>
      <c r="T4" s="2"/>
      <c r="U4" s="11"/>
      <c r="BH4" s="3">
        <v>2</v>
      </c>
      <c r="BI4" s="10" t="s">
        <v>4</v>
      </c>
      <c r="BJ4" s="2" t="s">
        <v>116</v>
      </c>
    </row>
    <row r="5" spans="1:62" x14ac:dyDescent="0.2">
      <c r="A5" s="3">
        <v>2025</v>
      </c>
      <c r="B5" s="7" t="s">
        <v>6</v>
      </c>
      <c r="C5" s="5">
        <v>1038027526</v>
      </c>
      <c r="D5" s="5">
        <v>1038027526</v>
      </c>
      <c r="E5" s="8">
        <v>0.69</v>
      </c>
      <c r="F5" s="8">
        <v>0.87</v>
      </c>
      <c r="G5" s="8">
        <f t="shared" si="0"/>
        <v>0.18000000000000005</v>
      </c>
      <c r="H5" s="8">
        <f t="shared" si="1"/>
        <v>0.18000000000000005</v>
      </c>
      <c r="I5" s="3" t="s">
        <v>116</v>
      </c>
      <c r="J5" s="3" t="s">
        <v>123</v>
      </c>
      <c r="L5" s="9"/>
      <c r="N5" s="2"/>
      <c r="O5" s="14"/>
      <c r="S5" s="10"/>
      <c r="T5" s="2"/>
      <c r="U5" s="11"/>
      <c r="BH5" s="3">
        <v>3</v>
      </c>
      <c r="BI5" s="10" t="s">
        <v>5</v>
      </c>
      <c r="BJ5" s="2" t="s">
        <v>116</v>
      </c>
    </row>
    <row r="6" spans="1:62" x14ac:dyDescent="0.2">
      <c r="A6" s="3">
        <v>2025</v>
      </c>
      <c r="B6" s="7" t="s">
        <v>7</v>
      </c>
      <c r="C6" s="5">
        <v>960387780</v>
      </c>
      <c r="D6" s="5">
        <v>960387780</v>
      </c>
      <c r="E6" s="8">
        <v>0.47</v>
      </c>
      <c r="F6" s="8">
        <v>0.85</v>
      </c>
      <c r="G6" s="8">
        <f t="shared" si="0"/>
        <v>0.38</v>
      </c>
      <c r="H6" s="8">
        <f t="shared" si="1"/>
        <v>0.38</v>
      </c>
      <c r="I6" s="3" t="s">
        <v>116</v>
      </c>
      <c r="J6" s="3" t="s">
        <v>123</v>
      </c>
      <c r="L6" s="9"/>
      <c r="N6" s="11"/>
      <c r="O6" s="14"/>
      <c r="S6" s="10"/>
      <c r="T6" s="2"/>
      <c r="U6" s="11"/>
      <c r="BH6" s="3">
        <v>4</v>
      </c>
      <c r="BI6" s="10" t="s">
        <v>6</v>
      </c>
      <c r="BJ6" s="2" t="s">
        <v>116</v>
      </c>
    </row>
    <row r="7" spans="1:62" x14ac:dyDescent="0.2">
      <c r="A7" s="3">
        <v>2024</v>
      </c>
      <c r="B7" s="7" t="s">
        <v>8</v>
      </c>
      <c r="C7" s="5">
        <v>1698863816</v>
      </c>
      <c r="D7" s="6">
        <f t="shared" ref="D7:D10" si="2">C7*1.028</f>
        <v>1746432002.848</v>
      </c>
      <c r="E7" s="8">
        <v>0.92</v>
      </c>
      <c r="F7" s="8">
        <v>0.95</v>
      </c>
      <c r="G7" s="8">
        <f t="shared" si="0"/>
        <v>2.9999999999999916E-2</v>
      </c>
      <c r="H7" s="8">
        <f t="shared" si="1"/>
        <v>2.9999999999999916E-2</v>
      </c>
      <c r="I7" s="3" t="s">
        <v>116</v>
      </c>
      <c r="J7" s="3" t="s">
        <v>123</v>
      </c>
      <c r="L7" s="9"/>
      <c r="N7" s="11"/>
      <c r="S7" s="10"/>
      <c r="T7" s="2"/>
      <c r="U7" s="11"/>
      <c r="BH7" s="3">
        <v>5</v>
      </c>
      <c r="BI7" s="10" t="s">
        <v>7</v>
      </c>
      <c r="BJ7" s="2" t="s">
        <v>117</v>
      </c>
    </row>
    <row r="8" spans="1:62" x14ac:dyDescent="0.2">
      <c r="A8" s="3">
        <v>2024</v>
      </c>
      <c r="B8" s="7" t="s">
        <v>9</v>
      </c>
      <c r="C8" s="5">
        <v>1338073645</v>
      </c>
      <c r="D8" s="6">
        <f t="shared" si="2"/>
        <v>1375539707.0599999</v>
      </c>
      <c r="E8" s="8">
        <v>0.77</v>
      </c>
      <c r="F8" s="8">
        <v>0.92</v>
      </c>
      <c r="G8" s="8">
        <f t="shared" si="0"/>
        <v>0.15000000000000002</v>
      </c>
      <c r="H8" s="8">
        <f t="shared" si="1"/>
        <v>0.15000000000000002</v>
      </c>
      <c r="I8" s="3" t="s">
        <v>116</v>
      </c>
      <c r="J8" s="3" t="s">
        <v>122</v>
      </c>
      <c r="L8" s="9"/>
      <c r="S8" s="10"/>
      <c r="T8" s="2"/>
      <c r="U8" s="11"/>
      <c r="BH8" s="3">
        <v>6</v>
      </c>
      <c r="BI8" s="10" t="s">
        <v>8</v>
      </c>
      <c r="BJ8" s="2" t="s">
        <v>116</v>
      </c>
    </row>
    <row r="9" spans="1:62" x14ac:dyDescent="0.2">
      <c r="A9" s="3">
        <v>2024</v>
      </c>
      <c r="B9" s="7" t="s">
        <v>10</v>
      </c>
      <c r="C9" s="5">
        <v>1059242164</v>
      </c>
      <c r="D9" s="6">
        <f t="shared" si="2"/>
        <v>1088900944.592</v>
      </c>
      <c r="E9" s="8">
        <v>0.65</v>
      </c>
      <c r="F9" s="8">
        <v>0.81</v>
      </c>
      <c r="G9" s="8">
        <f t="shared" si="0"/>
        <v>0.16000000000000003</v>
      </c>
      <c r="H9" s="8">
        <f t="shared" si="1"/>
        <v>0.16000000000000003</v>
      </c>
      <c r="I9" s="3" t="s">
        <v>116</v>
      </c>
      <c r="J9" s="3" t="s">
        <v>123</v>
      </c>
      <c r="L9" s="9"/>
      <c r="S9" s="10"/>
      <c r="T9" s="2"/>
      <c r="U9" s="11"/>
      <c r="BH9" s="3">
        <v>7</v>
      </c>
      <c r="BI9" s="10" t="s">
        <v>9</v>
      </c>
      <c r="BJ9" s="2" t="s">
        <v>116</v>
      </c>
    </row>
    <row r="10" spans="1:62" x14ac:dyDescent="0.2">
      <c r="A10" s="3">
        <v>2024</v>
      </c>
      <c r="B10" s="7" t="s">
        <v>11</v>
      </c>
      <c r="C10" s="5">
        <v>972021410</v>
      </c>
      <c r="D10" s="6">
        <f t="shared" si="2"/>
        <v>999238009.48000002</v>
      </c>
      <c r="E10" s="8">
        <v>0.56000000000000005</v>
      </c>
      <c r="F10" s="8">
        <v>0.87</v>
      </c>
      <c r="G10" s="8">
        <f t="shared" si="0"/>
        <v>0.30999999999999994</v>
      </c>
      <c r="H10" s="8">
        <f t="shared" si="1"/>
        <v>0.30999999999999994</v>
      </c>
      <c r="I10" s="3" t="s">
        <v>116</v>
      </c>
      <c r="J10" s="3" t="s">
        <v>123</v>
      </c>
      <c r="L10" s="9"/>
      <c r="N10" s="8"/>
      <c r="S10" s="10"/>
      <c r="T10" s="2"/>
      <c r="U10" s="11"/>
      <c r="BH10" s="3">
        <v>8</v>
      </c>
      <c r="BI10" s="10" t="s">
        <v>10</v>
      </c>
      <c r="BJ10" s="2" t="s">
        <v>116</v>
      </c>
    </row>
    <row r="11" spans="1:62" x14ac:dyDescent="0.2">
      <c r="A11" s="3">
        <v>2024</v>
      </c>
      <c r="B11" s="7" t="s">
        <v>12</v>
      </c>
      <c r="C11" s="5">
        <v>763963597</v>
      </c>
      <c r="D11" s="6">
        <f>C11*1.028</f>
        <v>785354577.71599996</v>
      </c>
      <c r="E11" s="8">
        <v>0.9</v>
      </c>
      <c r="F11" s="8">
        <v>0.95</v>
      </c>
      <c r="G11" s="8">
        <f t="shared" si="0"/>
        <v>4.9999999999999933E-2</v>
      </c>
      <c r="H11" s="8">
        <f t="shared" si="1"/>
        <v>4.9999999999999933E-2</v>
      </c>
      <c r="I11" s="3" t="s">
        <v>116</v>
      </c>
      <c r="J11" s="3" t="s">
        <v>123</v>
      </c>
      <c r="L11" s="9"/>
      <c r="N11" s="11"/>
      <c r="S11" s="10"/>
      <c r="T11" s="2"/>
      <c r="U11" s="11"/>
      <c r="BH11" s="3">
        <v>9</v>
      </c>
      <c r="BI11" s="10" t="s">
        <v>11</v>
      </c>
      <c r="BJ11" s="2" t="s">
        <v>116</v>
      </c>
    </row>
    <row r="12" spans="1:62" x14ac:dyDescent="0.2">
      <c r="A12" s="3">
        <v>2023</v>
      </c>
      <c r="B12" s="7" t="s">
        <v>14</v>
      </c>
      <c r="C12" s="5">
        <v>1447138421</v>
      </c>
      <c r="D12" s="6">
        <f t="shared" ref="D12:D15" si="3">C12*1.057</f>
        <v>1529625310.997</v>
      </c>
      <c r="E12" s="8">
        <v>0.88</v>
      </c>
      <c r="F12" s="8">
        <v>0.84</v>
      </c>
      <c r="G12" s="8">
        <f t="shared" si="0"/>
        <v>-4.0000000000000036E-2</v>
      </c>
      <c r="H12" s="8">
        <f t="shared" si="1"/>
        <v>4.0000000000000036E-2</v>
      </c>
      <c r="I12" s="3" t="s">
        <v>116</v>
      </c>
      <c r="J12" s="3" t="s">
        <v>125</v>
      </c>
      <c r="L12" s="9"/>
      <c r="S12" s="10"/>
      <c r="T12" s="2"/>
      <c r="U12" s="11"/>
      <c r="BH12" s="3">
        <v>10</v>
      </c>
      <c r="BI12" s="10" t="s">
        <v>12</v>
      </c>
      <c r="BJ12" s="2" t="s">
        <v>117</v>
      </c>
    </row>
    <row r="13" spans="1:62" x14ac:dyDescent="0.2">
      <c r="A13" s="3">
        <v>2023</v>
      </c>
      <c r="B13" s="7" t="s">
        <v>15</v>
      </c>
      <c r="C13" s="5">
        <v>1360783214</v>
      </c>
      <c r="D13" s="6">
        <f t="shared" si="3"/>
        <v>1438347857.198</v>
      </c>
      <c r="E13" s="8">
        <v>0.59</v>
      </c>
      <c r="F13" s="8">
        <v>0.96</v>
      </c>
      <c r="G13" s="8">
        <f t="shared" si="0"/>
        <v>0.37</v>
      </c>
      <c r="H13" s="8">
        <f t="shared" si="1"/>
        <v>0.37</v>
      </c>
      <c r="I13" s="3" t="s">
        <v>116</v>
      </c>
      <c r="J13" s="3" t="s">
        <v>123</v>
      </c>
      <c r="L13" s="9"/>
      <c r="S13" s="10"/>
      <c r="T13" s="2"/>
      <c r="U13" s="11"/>
      <c r="BH13" s="3">
        <v>11</v>
      </c>
      <c r="BI13" s="10" t="s">
        <v>14</v>
      </c>
      <c r="BJ13" s="2" t="s">
        <v>117</v>
      </c>
    </row>
    <row r="14" spans="1:62" x14ac:dyDescent="0.2">
      <c r="A14" s="3">
        <v>2023</v>
      </c>
      <c r="B14" s="7" t="s">
        <v>16</v>
      </c>
      <c r="C14" s="5">
        <v>975811333</v>
      </c>
      <c r="D14" s="6">
        <f t="shared" si="3"/>
        <v>1031432578.9809999</v>
      </c>
      <c r="E14" s="8">
        <v>0.93</v>
      </c>
      <c r="F14" s="8">
        <v>0.91</v>
      </c>
      <c r="G14" s="8">
        <f t="shared" si="0"/>
        <v>-2.0000000000000018E-2</v>
      </c>
      <c r="H14" s="8">
        <f t="shared" si="1"/>
        <v>2.0000000000000018E-2</v>
      </c>
      <c r="I14" s="3" t="s">
        <v>117</v>
      </c>
      <c r="J14" s="3" t="s">
        <v>126</v>
      </c>
      <c r="L14" s="9"/>
      <c r="N14" s="8"/>
      <c r="S14" s="10"/>
      <c r="T14" s="2"/>
      <c r="U14" s="11"/>
      <c r="BH14" s="3">
        <v>12</v>
      </c>
      <c r="BI14" s="10" t="s">
        <v>15</v>
      </c>
      <c r="BJ14" s="2" t="s">
        <v>116</v>
      </c>
    </row>
    <row r="15" spans="1:62" x14ac:dyDescent="0.2">
      <c r="A15" s="3">
        <v>2023</v>
      </c>
      <c r="B15" s="7" t="s">
        <v>17</v>
      </c>
      <c r="C15" s="5">
        <v>845555777</v>
      </c>
      <c r="D15" s="6">
        <f t="shared" si="3"/>
        <v>893752456.28899992</v>
      </c>
      <c r="E15" s="8">
        <v>0.82</v>
      </c>
      <c r="F15" s="8">
        <v>0.94</v>
      </c>
      <c r="G15" s="8">
        <f t="shared" si="0"/>
        <v>0.12</v>
      </c>
      <c r="H15" s="8">
        <f t="shared" si="1"/>
        <v>0.12</v>
      </c>
      <c r="I15" s="3" t="s">
        <v>116</v>
      </c>
      <c r="J15" s="3" t="s">
        <v>124</v>
      </c>
      <c r="L15" s="9"/>
      <c r="N15" s="11"/>
      <c r="S15" s="10"/>
      <c r="T15" s="2"/>
      <c r="U15" s="11"/>
      <c r="BH15" s="3">
        <v>13</v>
      </c>
      <c r="BI15" s="10" t="s">
        <v>16</v>
      </c>
      <c r="BJ15" s="2" t="s">
        <v>117</v>
      </c>
    </row>
    <row r="16" spans="1:62" x14ac:dyDescent="0.2">
      <c r="A16" s="3">
        <v>2023</v>
      </c>
      <c r="B16" s="7" t="s">
        <v>18</v>
      </c>
      <c r="C16" s="5">
        <v>704875015</v>
      </c>
      <c r="D16" s="6">
        <f>C16*1.057</f>
        <v>745052890.8549999</v>
      </c>
      <c r="E16" s="8">
        <v>0.56000000000000005</v>
      </c>
      <c r="F16" s="8">
        <v>0.85</v>
      </c>
      <c r="G16" s="8">
        <f t="shared" si="0"/>
        <v>0.28999999999999992</v>
      </c>
      <c r="H16" s="8">
        <f t="shared" si="1"/>
        <v>0.28999999999999992</v>
      </c>
      <c r="I16" s="3" t="s">
        <v>116</v>
      </c>
      <c r="J16" s="3" t="s">
        <v>122</v>
      </c>
      <c r="L16" s="9"/>
      <c r="S16" s="10"/>
      <c r="T16" s="2"/>
      <c r="U16" s="11"/>
      <c r="BH16" s="3">
        <v>14</v>
      </c>
      <c r="BI16" s="10" t="s">
        <v>17</v>
      </c>
      <c r="BJ16" s="2" t="s">
        <v>116</v>
      </c>
    </row>
    <row r="17" spans="1:62" x14ac:dyDescent="0.2">
      <c r="A17" s="3">
        <v>2022</v>
      </c>
      <c r="B17" s="7" t="s">
        <v>19</v>
      </c>
      <c r="C17" s="5">
        <v>2320631329</v>
      </c>
      <c r="D17" s="6">
        <f t="shared" ref="D17:D20" si="4">C17*1.109</f>
        <v>2573580143.8610001</v>
      </c>
      <c r="E17" s="8">
        <v>0.76</v>
      </c>
      <c r="F17" s="8">
        <v>0.92</v>
      </c>
      <c r="G17" s="8">
        <f t="shared" si="0"/>
        <v>0.16000000000000003</v>
      </c>
      <c r="H17" s="8">
        <f t="shared" si="1"/>
        <v>0.16000000000000003</v>
      </c>
      <c r="I17" s="3" t="s">
        <v>116</v>
      </c>
      <c r="J17" s="3" t="s">
        <v>124</v>
      </c>
      <c r="L17" s="9"/>
      <c r="S17" s="10"/>
      <c r="T17" s="2"/>
      <c r="U17" s="11"/>
      <c r="BH17" s="3">
        <v>15</v>
      </c>
      <c r="BI17" s="10" t="s">
        <v>18</v>
      </c>
      <c r="BJ17" s="2" t="s">
        <v>116</v>
      </c>
    </row>
    <row r="18" spans="1:62" x14ac:dyDescent="0.2">
      <c r="A18" s="3">
        <v>2022</v>
      </c>
      <c r="B18" s="7" t="s">
        <v>20</v>
      </c>
      <c r="C18" s="5">
        <v>1495696292</v>
      </c>
      <c r="D18" s="6">
        <f t="shared" si="4"/>
        <v>1658727187.8280001</v>
      </c>
      <c r="E18" s="8">
        <v>0.96</v>
      </c>
      <c r="F18" s="8">
        <v>0.99</v>
      </c>
      <c r="G18" s="8">
        <f t="shared" si="0"/>
        <v>3.0000000000000027E-2</v>
      </c>
      <c r="H18" s="8">
        <f t="shared" si="1"/>
        <v>3.0000000000000027E-2</v>
      </c>
      <c r="I18" s="3" t="s">
        <v>116</v>
      </c>
      <c r="J18" s="3" t="s">
        <v>122</v>
      </c>
      <c r="L18" s="9"/>
      <c r="S18" s="10"/>
      <c r="T18" s="2"/>
      <c r="U18" s="11"/>
      <c r="BH18" s="3">
        <v>16</v>
      </c>
      <c r="BI18" s="10" t="s">
        <v>19</v>
      </c>
      <c r="BJ18" s="2" t="s">
        <v>116</v>
      </c>
    </row>
    <row r="19" spans="1:62" x14ac:dyDescent="0.2">
      <c r="A19" s="3">
        <v>2022</v>
      </c>
      <c r="B19" s="7" t="s">
        <v>21</v>
      </c>
      <c r="C19" s="5">
        <v>1001978080</v>
      </c>
      <c r="D19" s="6">
        <f t="shared" si="4"/>
        <v>1111193690.72</v>
      </c>
      <c r="E19" s="8">
        <v>0.28999999999999998</v>
      </c>
      <c r="F19" s="8">
        <v>0.77</v>
      </c>
      <c r="G19" s="8">
        <f t="shared" si="0"/>
        <v>0.48000000000000004</v>
      </c>
      <c r="H19" s="8">
        <f t="shared" si="1"/>
        <v>0.48000000000000004</v>
      </c>
      <c r="I19" s="3" t="s">
        <v>116</v>
      </c>
      <c r="J19" s="3" t="s">
        <v>122</v>
      </c>
      <c r="L19" s="9"/>
      <c r="S19" s="10"/>
      <c r="T19" s="2"/>
      <c r="U19" s="11"/>
      <c r="BH19" s="3">
        <v>17</v>
      </c>
      <c r="BI19" s="10" t="s">
        <v>20</v>
      </c>
      <c r="BJ19" s="2" t="s">
        <v>116</v>
      </c>
    </row>
    <row r="20" spans="1:62" x14ac:dyDescent="0.2">
      <c r="A20" s="3">
        <v>2022</v>
      </c>
      <c r="B20" s="7" t="s">
        <v>22</v>
      </c>
      <c r="C20" s="5">
        <v>955775804</v>
      </c>
      <c r="D20" s="6">
        <f t="shared" si="4"/>
        <v>1059955366.636</v>
      </c>
      <c r="E20" s="8">
        <v>0.74</v>
      </c>
      <c r="F20" s="8">
        <v>0.85</v>
      </c>
      <c r="G20" s="8">
        <f t="shared" si="0"/>
        <v>0.10999999999999999</v>
      </c>
      <c r="H20" s="8">
        <f t="shared" si="1"/>
        <v>0.10999999999999999</v>
      </c>
      <c r="I20" s="3" t="s">
        <v>116</v>
      </c>
      <c r="J20" s="3" t="s">
        <v>122</v>
      </c>
      <c r="L20" s="9"/>
      <c r="S20" s="10"/>
      <c r="T20" s="2"/>
      <c r="U20" s="11"/>
      <c r="BH20" s="3">
        <v>18</v>
      </c>
      <c r="BI20" s="10" t="s">
        <v>111</v>
      </c>
      <c r="BJ20" s="2" t="s">
        <v>116</v>
      </c>
    </row>
    <row r="21" spans="1:62" x14ac:dyDescent="0.2">
      <c r="A21" s="3">
        <v>2022</v>
      </c>
      <c r="B21" s="7" t="s">
        <v>23</v>
      </c>
      <c r="C21" s="5">
        <v>940482695</v>
      </c>
      <c r="D21" s="6">
        <f>C21*1.109</f>
        <v>1042995308.755</v>
      </c>
      <c r="E21" s="8">
        <v>0.7</v>
      </c>
      <c r="F21" s="8">
        <v>0.88</v>
      </c>
      <c r="G21" s="8">
        <f t="shared" si="0"/>
        <v>0.18000000000000005</v>
      </c>
      <c r="H21" s="8">
        <f t="shared" si="1"/>
        <v>0.18000000000000005</v>
      </c>
      <c r="I21" s="3" t="s">
        <v>116</v>
      </c>
      <c r="J21" s="3" t="s">
        <v>123</v>
      </c>
      <c r="L21" s="9"/>
      <c r="S21" s="10"/>
      <c r="T21" s="2"/>
      <c r="U21" s="11"/>
      <c r="BH21" s="3">
        <v>19</v>
      </c>
      <c r="BI21" s="10" t="s">
        <v>22</v>
      </c>
      <c r="BJ21" s="2" t="s">
        <v>116</v>
      </c>
    </row>
    <row r="22" spans="1:62" x14ac:dyDescent="0.2">
      <c r="A22" s="3">
        <v>2021</v>
      </c>
      <c r="B22" s="7" t="s">
        <v>24</v>
      </c>
      <c r="C22" s="5">
        <v>1910982770</v>
      </c>
      <c r="D22" s="6">
        <f t="shared" ref="D22:D25" si="5">C22*1.189</f>
        <v>2272158513.5300002</v>
      </c>
      <c r="E22" s="8">
        <v>0.93</v>
      </c>
      <c r="F22" s="8">
        <v>0.98</v>
      </c>
      <c r="G22" s="8">
        <f t="shared" si="0"/>
        <v>4.9999999999999933E-2</v>
      </c>
      <c r="H22" s="8">
        <f t="shared" si="1"/>
        <v>4.9999999999999933E-2</v>
      </c>
      <c r="I22" s="3" t="s">
        <v>116</v>
      </c>
      <c r="J22" s="3" t="s">
        <v>122</v>
      </c>
      <c r="S22" s="10"/>
      <c r="T22" s="2"/>
      <c r="U22" s="11"/>
      <c r="BH22" s="3">
        <v>20</v>
      </c>
      <c r="BI22" s="10" t="s">
        <v>23</v>
      </c>
      <c r="BJ22" s="2" t="s">
        <v>116</v>
      </c>
    </row>
    <row r="23" spans="1:62" x14ac:dyDescent="0.2">
      <c r="A23" s="3">
        <v>2021</v>
      </c>
      <c r="B23" s="7" t="s">
        <v>25</v>
      </c>
      <c r="C23" s="5">
        <v>902548476</v>
      </c>
      <c r="D23" s="6">
        <f t="shared" si="5"/>
        <v>1073130137.9640001</v>
      </c>
      <c r="E23" s="8">
        <v>0.36</v>
      </c>
      <c r="F23" s="8">
        <v>1</v>
      </c>
      <c r="G23" s="8">
        <f t="shared" si="0"/>
        <v>0.64</v>
      </c>
      <c r="H23" s="8">
        <f t="shared" si="1"/>
        <v>0.64</v>
      </c>
      <c r="I23" s="3" t="s">
        <v>117</v>
      </c>
      <c r="J23" s="3" t="s">
        <v>127</v>
      </c>
      <c r="S23" s="10"/>
      <c r="T23" s="2"/>
      <c r="U23" s="11"/>
      <c r="BH23" s="3">
        <v>21</v>
      </c>
      <c r="BI23" s="10" t="s">
        <v>24</v>
      </c>
      <c r="BJ23" s="2" t="s">
        <v>116</v>
      </c>
    </row>
    <row r="24" spans="1:62" x14ac:dyDescent="0.2">
      <c r="A24" s="3">
        <v>2021</v>
      </c>
      <c r="B24" s="7" t="s">
        <v>26</v>
      </c>
      <c r="C24" s="5">
        <v>822009764</v>
      </c>
      <c r="D24" s="6">
        <f t="shared" si="5"/>
        <v>977369609.39600003</v>
      </c>
      <c r="E24" s="8">
        <v>0.93</v>
      </c>
      <c r="G24" s="8"/>
      <c r="H24" s="8">
        <f t="shared" si="1"/>
        <v>0</v>
      </c>
      <c r="I24" s="3" t="s">
        <v>117</v>
      </c>
      <c r="J24" s="3" t="s">
        <v>125</v>
      </c>
      <c r="S24" s="10"/>
      <c r="T24" s="2"/>
      <c r="U24" s="11"/>
      <c r="BH24" s="3">
        <v>22</v>
      </c>
      <c r="BI24" s="10" t="s">
        <v>25</v>
      </c>
      <c r="BJ24" s="2" t="s">
        <v>117</v>
      </c>
    </row>
    <row r="25" spans="1:62" x14ac:dyDescent="0.2">
      <c r="A25" s="3">
        <v>2021</v>
      </c>
      <c r="B25" s="7" t="s">
        <v>27</v>
      </c>
      <c r="C25" s="5">
        <v>774153007</v>
      </c>
      <c r="D25" s="6">
        <f t="shared" si="5"/>
        <v>920467925.32300007</v>
      </c>
      <c r="E25" s="8">
        <v>0.83</v>
      </c>
      <c r="F25" s="8">
        <v>0.88</v>
      </c>
      <c r="G25" s="8">
        <f t="shared" si="0"/>
        <v>5.0000000000000044E-2</v>
      </c>
      <c r="H25" s="8">
        <f t="shared" si="1"/>
        <v>5.0000000000000044E-2</v>
      </c>
      <c r="I25" s="3" t="s">
        <v>116</v>
      </c>
      <c r="J25" s="3" t="s">
        <v>122</v>
      </c>
      <c r="S25" s="10"/>
      <c r="T25" s="2"/>
      <c r="U25" s="11"/>
      <c r="BH25" s="3">
        <v>23</v>
      </c>
      <c r="BI25" s="10" t="s">
        <v>26</v>
      </c>
      <c r="BJ25" s="2" t="s">
        <v>117</v>
      </c>
    </row>
    <row r="26" spans="1:62" x14ac:dyDescent="0.2">
      <c r="A26" s="3">
        <v>2021</v>
      </c>
      <c r="B26" s="7" t="s">
        <v>28</v>
      </c>
      <c r="C26" s="5">
        <v>726229501</v>
      </c>
      <c r="D26" s="6">
        <f>C26*1.189</f>
        <v>863486876.68900001</v>
      </c>
      <c r="E26" s="8">
        <v>0.59</v>
      </c>
      <c r="F26" s="8">
        <v>0.82</v>
      </c>
      <c r="G26" s="8">
        <f t="shared" si="0"/>
        <v>0.22999999999999998</v>
      </c>
      <c r="H26" s="8">
        <f t="shared" si="1"/>
        <v>0.22999999999999998</v>
      </c>
      <c r="I26" s="3" t="s">
        <v>116</v>
      </c>
      <c r="J26" s="3" t="s">
        <v>122</v>
      </c>
      <c r="S26" s="10"/>
      <c r="T26" s="2"/>
      <c r="U26" s="11"/>
      <c r="BH26" s="3">
        <v>24</v>
      </c>
      <c r="BI26" s="10" t="s">
        <v>27</v>
      </c>
      <c r="BJ26" s="2" t="s">
        <v>116</v>
      </c>
    </row>
    <row r="27" spans="1:62" x14ac:dyDescent="0.2">
      <c r="A27" s="3">
        <v>2020</v>
      </c>
      <c r="B27" s="7" t="s">
        <v>29</v>
      </c>
      <c r="C27" s="5">
        <v>472162520</v>
      </c>
      <c r="D27" s="6">
        <f t="shared" ref="D27:D30" si="6">C27*1.245</f>
        <v>587842337.4000001</v>
      </c>
      <c r="E27" s="8">
        <v>0.98</v>
      </c>
      <c r="F27" s="8">
        <v>0.99</v>
      </c>
      <c r="G27" s="8">
        <f t="shared" si="0"/>
        <v>1.0000000000000009E-2</v>
      </c>
      <c r="H27" s="8">
        <f t="shared" si="1"/>
        <v>1.0000000000000009E-2</v>
      </c>
      <c r="I27" s="3" t="s">
        <v>116</v>
      </c>
      <c r="J27" s="3" t="s">
        <v>128</v>
      </c>
      <c r="S27" s="10"/>
      <c r="T27" s="2"/>
      <c r="U27" s="11"/>
      <c r="BH27" s="3">
        <v>25</v>
      </c>
      <c r="BI27" s="10" t="s">
        <v>28</v>
      </c>
      <c r="BJ27" s="2" t="s">
        <v>116</v>
      </c>
    </row>
    <row r="28" spans="1:62" x14ac:dyDescent="0.2">
      <c r="A28" s="3">
        <v>2020</v>
      </c>
      <c r="B28" s="7" t="s">
        <v>30</v>
      </c>
      <c r="C28" s="5">
        <v>461421559</v>
      </c>
      <c r="D28" s="6">
        <f t="shared" si="6"/>
        <v>574469840.95500004</v>
      </c>
      <c r="E28" s="8">
        <v>0.89</v>
      </c>
      <c r="F28" s="8">
        <v>0.78</v>
      </c>
      <c r="G28" s="8">
        <f t="shared" si="0"/>
        <v>-0.10999999999999999</v>
      </c>
      <c r="H28" s="8">
        <f t="shared" si="1"/>
        <v>0.10999999999999999</v>
      </c>
      <c r="I28" s="3" t="s">
        <v>117</v>
      </c>
      <c r="J28" s="3" t="s">
        <v>127</v>
      </c>
      <c r="S28" s="10"/>
      <c r="T28" s="2"/>
      <c r="U28" s="11"/>
      <c r="BH28" s="3">
        <v>26</v>
      </c>
      <c r="BI28" s="10" t="s">
        <v>104</v>
      </c>
      <c r="BJ28" s="2" t="s">
        <v>116</v>
      </c>
    </row>
    <row r="29" spans="1:62" x14ac:dyDescent="0.2">
      <c r="A29" s="3">
        <v>2020</v>
      </c>
      <c r="B29" s="7" t="s">
        <v>31</v>
      </c>
      <c r="C29" s="5">
        <v>426505244</v>
      </c>
      <c r="D29" s="6">
        <f t="shared" si="6"/>
        <v>530999028.78000003</v>
      </c>
      <c r="E29" s="8">
        <v>0.76</v>
      </c>
      <c r="F29" s="8">
        <v>0.96</v>
      </c>
      <c r="G29" s="8">
        <f t="shared" si="0"/>
        <v>0.19999999999999996</v>
      </c>
      <c r="H29" s="8">
        <f t="shared" si="1"/>
        <v>0.19999999999999996</v>
      </c>
      <c r="I29" s="3" t="s">
        <v>116</v>
      </c>
      <c r="J29" s="3" t="s">
        <v>122</v>
      </c>
      <c r="S29" s="10"/>
      <c r="T29" s="2"/>
      <c r="U29" s="11"/>
      <c r="BH29" s="3">
        <v>27</v>
      </c>
      <c r="BI29" s="10" t="s">
        <v>30</v>
      </c>
      <c r="BJ29" s="2" t="s">
        <v>117</v>
      </c>
    </row>
    <row r="30" spans="1:62" x14ac:dyDescent="0.2">
      <c r="A30" s="3">
        <v>2020</v>
      </c>
      <c r="B30" s="7" t="s">
        <v>32</v>
      </c>
      <c r="C30" s="5">
        <v>422390820</v>
      </c>
      <c r="D30" s="6">
        <f t="shared" si="6"/>
        <v>525876570.90000004</v>
      </c>
      <c r="E30" s="8">
        <v>0.92</v>
      </c>
      <c r="G30" s="8"/>
      <c r="H30" s="8">
        <f t="shared" si="1"/>
        <v>0</v>
      </c>
      <c r="I30" s="3" t="s">
        <v>116</v>
      </c>
      <c r="J30" s="3" t="s">
        <v>125</v>
      </c>
      <c r="S30" s="10"/>
      <c r="T30" s="2"/>
      <c r="U30" s="2"/>
      <c r="BH30" s="3">
        <v>28</v>
      </c>
      <c r="BI30" s="10" t="s">
        <v>31</v>
      </c>
      <c r="BJ30" s="2" t="s">
        <v>116</v>
      </c>
    </row>
    <row r="31" spans="1:62" x14ac:dyDescent="0.2">
      <c r="A31" s="3">
        <v>2020</v>
      </c>
      <c r="B31" s="7" t="s">
        <v>33</v>
      </c>
      <c r="C31" s="5">
        <v>365304105</v>
      </c>
      <c r="D31" s="6">
        <f>C31*1.245</f>
        <v>454803610.72500002</v>
      </c>
      <c r="E31" s="8">
        <v>0.7</v>
      </c>
      <c r="F31" s="8">
        <v>0.76</v>
      </c>
      <c r="G31" s="8">
        <f t="shared" si="0"/>
        <v>6.0000000000000053E-2</v>
      </c>
      <c r="H31" s="8">
        <f t="shared" si="1"/>
        <v>6.0000000000000053E-2</v>
      </c>
      <c r="I31" s="3" t="s">
        <v>117</v>
      </c>
      <c r="J31" s="3" t="s">
        <v>122</v>
      </c>
      <c r="S31" s="10"/>
      <c r="T31" s="2"/>
      <c r="U31" s="11"/>
      <c r="BH31" s="3">
        <v>29</v>
      </c>
      <c r="BI31" s="10" t="s">
        <v>32</v>
      </c>
      <c r="BJ31" s="2" t="s">
        <v>116</v>
      </c>
    </row>
    <row r="32" spans="1:62" x14ac:dyDescent="0.2">
      <c r="A32" s="3">
        <v>2019</v>
      </c>
      <c r="B32" s="7" t="s">
        <v>34</v>
      </c>
      <c r="C32" s="5">
        <v>2799439100</v>
      </c>
      <c r="D32" s="6">
        <f t="shared" ref="D32:D35" si="7">C32*1.26</f>
        <v>3527293266</v>
      </c>
      <c r="E32" s="8">
        <v>0.94</v>
      </c>
      <c r="F32" s="8">
        <v>0.9</v>
      </c>
      <c r="G32" s="8">
        <f t="shared" si="0"/>
        <v>-3.9999999999999925E-2</v>
      </c>
      <c r="H32" s="8">
        <f t="shared" si="1"/>
        <v>3.9999999999999925E-2</v>
      </c>
      <c r="I32" s="3" t="s">
        <v>116</v>
      </c>
      <c r="J32" s="3" t="s">
        <v>122</v>
      </c>
      <c r="S32" s="10"/>
      <c r="T32" s="2"/>
      <c r="U32" s="11"/>
      <c r="BH32" s="3">
        <v>30</v>
      </c>
      <c r="BI32" s="10" t="s">
        <v>33</v>
      </c>
      <c r="BJ32" s="2" t="s">
        <v>117</v>
      </c>
    </row>
    <row r="33" spans="1:62" x14ac:dyDescent="0.2">
      <c r="A33" s="3">
        <v>2019</v>
      </c>
      <c r="B33" s="7" t="s">
        <v>35</v>
      </c>
      <c r="C33" s="5">
        <v>1656943394</v>
      </c>
      <c r="D33" s="6">
        <f t="shared" si="7"/>
        <v>2087748676.4400001</v>
      </c>
      <c r="E33" s="8">
        <v>0.52</v>
      </c>
      <c r="F33" s="8">
        <v>0.88</v>
      </c>
      <c r="G33" s="8">
        <f t="shared" si="0"/>
        <v>0.36</v>
      </c>
      <c r="H33" s="8">
        <f t="shared" si="1"/>
        <v>0.36</v>
      </c>
      <c r="I33" s="3" t="s">
        <v>116</v>
      </c>
      <c r="J33" s="3" t="s">
        <v>123</v>
      </c>
      <c r="S33" s="10"/>
      <c r="T33" s="2"/>
      <c r="U33" s="11"/>
      <c r="BH33" s="3">
        <v>31</v>
      </c>
      <c r="BI33" s="10" t="s">
        <v>34</v>
      </c>
      <c r="BJ33" s="2" t="s">
        <v>116</v>
      </c>
    </row>
    <row r="34" spans="1:62" x14ac:dyDescent="0.2">
      <c r="A34" s="3">
        <v>2019</v>
      </c>
      <c r="B34" s="7" t="s">
        <v>36</v>
      </c>
      <c r="C34" s="5">
        <v>1450026933</v>
      </c>
      <c r="D34" s="6">
        <f t="shared" si="7"/>
        <v>1827033935.5799999</v>
      </c>
      <c r="E34" s="12">
        <v>0.77500000000000002</v>
      </c>
      <c r="F34" s="8">
        <v>0.92</v>
      </c>
      <c r="G34" s="8">
        <f t="shared" si="0"/>
        <v>0.14500000000000002</v>
      </c>
      <c r="H34" s="8">
        <f t="shared" si="1"/>
        <v>0.14500000000000002</v>
      </c>
      <c r="I34" s="3" t="s">
        <v>116</v>
      </c>
      <c r="J34" s="3" t="s">
        <v>123</v>
      </c>
      <c r="S34" s="10"/>
      <c r="T34" s="2"/>
      <c r="U34" s="11"/>
      <c r="BH34" s="3">
        <v>32</v>
      </c>
      <c r="BI34" s="10" t="s">
        <v>35</v>
      </c>
      <c r="BJ34" s="2" t="s">
        <v>116</v>
      </c>
    </row>
    <row r="35" spans="1:62" x14ac:dyDescent="0.2">
      <c r="A35" s="3">
        <v>2019</v>
      </c>
      <c r="B35" s="7" t="s">
        <v>37</v>
      </c>
      <c r="C35" s="5">
        <v>1131927996</v>
      </c>
      <c r="D35" s="6">
        <f t="shared" si="7"/>
        <v>1426229274.96</v>
      </c>
      <c r="E35" s="8">
        <v>0.9</v>
      </c>
      <c r="F35" s="8">
        <v>0.95</v>
      </c>
      <c r="G35" s="8">
        <f t="shared" si="0"/>
        <v>4.9999999999999933E-2</v>
      </c>
      <c r="H35" s="8">
        <f t="shared" si="1"/>
        <v>4.9999999999999933E-2</v>
      </c>
      <c r="I35" s="3" t="s">
        <v>116</v>
      </c>
      <c r="J35" s="3" t="s">
        <v>122</v>
      </c>
      <c r="S35" s="10"/>
      <c r="T35" s="2"/>
      <c r="U35" s="11"/>
      <c r="BH35" s="3">
        <v>33</v>
      </c>
      <c r="BI35" s="10" t="s">
        <v>36</v>
      </c>
      <c r="BJ35" s="2" t="s">
        <v>116</v>
      </c>
    </row>
    <row r="36" spans="1:62" x14ac:dyDescent="0.2">
      <c r="A36" s="3">
        <v>2019</v>
      </c>
      <c r="B36" s="7" t="s">
        <v>38</v>
      </c>
      <c r="C36" s="5">
        <v>1128274794</v>
      </c>
      <c r="D36" s="6">
        <f>C36*1.26</f>
        <v>1421626240.4400001</v>
      </c>
      <c r="E36" s="8">
        <v>0.79</v>
      </c>
      <c r="F36" s="8">
        <v>0.56000000000000005</v>
      </c>
      <c r="G36" s="8">
        <f t="shared" si="0"/>
        <v>-0.22999999999999998</v>
      </c>
      <c r="H36" s="8">
        <f t="shared" si="1"/>
        <v>0.22999999999999998</v>
      </c>
      <c r="I36" s="3" t="s">
        <v>116</v>
      </c>
      <c r="J36" s="3" t="s">
        <v>122</v>
      </c>
      <c r="S36" s="10"/>
      <c r="T36" s="2"/>
      <c r="U36" s="11"/>
      <c r="BH36" s="3">
        <v>34</v>
      </c>
      <c r="BI36" s="10" t="s">
        <v>105</v>
      </c>
      <c r="BJ36" s="2" t="s">
        <v>116</v>
      </c>
    </row>
    <row r="37" spans="1:62" x14ac:dyDescent="0.2">
      <c r="A37" s="3">
        <v>2018</v>
      </c>
      <c r="B37" s="7" t="s">
        <v>39</v>
      </c>
      <c r="C37" s="5">
        <v>2048359754</v>
      </c>
      <c r="D37" s="6">
        <f t="shared" ref="D37:D40" si="8">C37*1.282</f>
        <v>2625997204.6280003</v>
      </c>
      <c r="E37" s="8">
        <v>0.84</v>
      </c>
      <c r="F37" s="12">
        <v>0.91500000000000004</v>
      </c>
      <c r="G37" s="8">
        <f t="shared" si="0"/>
        <v>7.5000000000000067E-2</v>
      </c>
      <c r="H37" s="8">
        <f t="shared" si="1"/>
        <v>7.5000000000000067E-2</v>
      </c>
      <c r="I37" s="3" t="s">
        <v>116</v>
      </c>
      <c r="J37" s="3" t="s">
        <v>122</v>
      </c>
      <c r="S37" s="10"/>
      <c r="T37" s="2"/>
      <c r="U37" s="11"/>
      <c r="BH37" s="3">
        <v>35</v>
      </c>
      <c r="BI37" s="10" t="s">
        <v>38</v>
      </c>
      <c r="BJ37" s="2" t="s">
        <v>116</v>
      </c>
    </row>
    <row r="38" spans="1:62" x14ac:dyDescent="0.2">
      <c r="A38" s="3">
        <v>2018</v>
      </c>
      <c r="B38" s="7" t="s">
        <v>40</v>
      </c>
      <c r="C38" s="5">
        <v>1346913161</v>
      </c>
      <c r="D38" s="6">
        <f t="shared" si="8"/>
        <v>1726742672.402</v>
      </c>
      <c r="E38" s="8">
        <v>0.96</v>
      </c>
      <c r="F38" s="8">
        <v>0.79</v>
      </c>
      <c r="G38" s="8">
        <f t="shared" si="0"/>
        <v>-0.16999999999999993</v>
      </c>
      <c r="H38" s="8">
        <f t="shared" si="1"/>
        <v>0.16999999999999993</v>
      </c>
      <c r="I38" s="3" t="s">
        <v>116</v>
      </c>
      <c r="J38" s="3" t="s">
        <v>122</v>
      </c>
      <c r="S38" s="10"/>
      <c r="T38" s="2"/>
      <c r="U38" s="11"/>
      <c r="BH38" s="3">
        <v>36</v>
      </c>
      <c r="BI38" s="10" t="s">
        <v>39</v>
      </c>
      <c r="BJ38" s="2" t="s">
        <v>116</v>
      </c>
    </row>
    <row r="39" spans="1:62" x14ac:dyDescent="0.2">
      <c r="A39" s="3">
        <v>2018</v>
      </c>
      <c r="B39" s="7" t="s">
        <v>41</v>
      </c>
      <c r="C39" s="5">
        <v>1308467944</v>
      </c>
      <c r="D39" s="6">
        <f t="shared" si="8"/>
        <v>1677455904.2079999</v>
      </c>
      <c r="E39" s="8">
        <v>0.47</v>
      </c>
      <c r="F39" s="8">
        <v>0.48</v>
      </c>
      <c r="G39" s="8">
        <f t="shared" si="0"/>
        <v>1.0000000000000009E-2</v>
      </c>
      <c r="H39" s="8">
        <f t="shared" si="1"/>
        <v>1.0000000000000009E-2</v>
      </c>
      <c r="I39" s="3" t="s">
        <v>116</v>
      </c>
      <c r="J39" s="3" t="s">
        <v>129</v>
      </c>
      <c r="S39" s="10"/>
      <c r="T39" s="2"/>
      <c r="U39" s="11"/>
      <c r="BH39" s="3">
        <v>37</v>
      </c>
      <c r="BI39" s="10" t="s">
        <v>40</v>
      </c>
      <c r="BJ39" s="2" t="s">
        <v>116</v>
      </c>
    </row>
    <row r="40" spans="1:62" x14ac:dyDescent="0.2">
      <c r="A40" s="3">
        <v>2018</v>
      </c>
      <c r="B40" s="7" t="s">
        <v>42</v>
      </c>
      <c r="C40" s="5">
        <v>1242805359</v>
      </c>
      <c r="D40" s="6">
        <f t="shared" si="8"/>
        <v>1593276470.2380002</v>
      </c>
      <c r="E40" s="8">
        <v>0.93</v>
      </c>
      <c r="F40" s="8">
        <v>0.9</v>
      </c>
      <c r="G40" s="8">
        <f t="shared" si="0"/>
        <v>-3.0000000000000027E-2</v>
      </c>
      <c r="H40" s="8">
        <f t="shared" si="1"/>
        <v>3.0000000000000027E-2</v>
      </c>
      <c r="I40" s="3" t="s">
        <v>116</v>
      </c>
      <c r="J40" s="3" t="s">
        <v>123</v>
      </c>
      <c r="S40" s="10"/>
      <c r="T40" s="2"/>
      <c r="U40" s="11"/>
      <c r="BH40" s="3">
        <v>38</v>
      </c>
      <c r="BI40" s="10" t="s">
        <v>41</v>
      </c>
      <c r="BJ40" s="2" t="s">
        <v>116</v>
      </c>
    </row>
    <row r="41" spans="1:62" x14ac:dyDescent="0.2">
      <c r="A41" s="3">
        <v>2018</v>
      </c>
      <c r="B41" s="7" t="s">
        <v>43</v>
      </c>
      <c r="C41" s="5">
        <v>1151961807</v>
      </c>
      <c r="D41" s="6">
        <f>C41*1.282</f>
        <v>1476815036.5740001</v>
      </c>
      <c r="E41" s="12">
        <v>0.65500000000000003</v>
      </c>
      <c r="F41" s="8">
        <v>0.73</v>
      </c>
      <c r="G41" s="8">
        <f t="shared" si="0"/>
        <v>7.4999999999999956E-2</v>
      </c>
      <c r="H41" s="8">
        <f t="shared" si="1"/>
        <v>7.4999999999999956E-2</v>
      </c>
      <c r="I41" s="3" t="s">
        <v>116</v>
      </c>
      <c r="J41" s="3" t="s">
        <v>122</v>
      </c>
      <c r="S41" s="10"/>
      <c r="T41" s="2"/>
      <c r="U41" s="11"/>
      <c r="BH41" s="3">
        <v>39</v>
      </c>
      <c r="BI41" s="10" t="s">
        <v>42</v>
      </c>
      <c r="BJ41" s="2" t="s">
        <v>116</v>
      </c>
    </row>
    <row r="42" spans="1:62" x14ac:dyDescent="0.2">
      <c r="A42" s="3">
        <v>2017</v>
      </c>
      <c r="B42" s="7" t="s">
        <v>44</v>
      </c>
      <c r="C42" s="5">
        <v>1332539889</v>
      </c>
      <c r="D42" s="6">
        <f t="shared" ref="D42:D45" si="9">C42*1.314</f>
        <v>1750957414.1460001</v>
      </c>
      <c r="E42" s="8">
        <v>0.91</v>
      </c>
      <c r="F42" s="8">
        <v>0.48</v>
      </c>
      <c r="G42" s="8">
        <f t="shared" si="0"/>
        <v>-0.43000000000000005</v>
      </c>
      <c r="H42" s="8">
        <f t="shared" si="1"/>
        <v>0.43000000000000005</v>
      </c>
      <c r="I42" s="3" t="s">
        <v>116</v>
      </c>
      <c r="J42" s="3" t="s">
        <v>122</v>
      </c>
      <c r="S42" s="10"/>
      <c r="T42" s="2"/>
      <c r="U42" s="11"/>
      <c r="BH42" s="3">
        <v>40</v>
      </c>
      <c r="BI42" s="10" t="s">
        <v>43</v>
      </c>
      <c r="BJ42" s="2" t="s">
        <v>116</v>
      </c>
    </row>
    <row r="43" spans="1:62" x14ac:dyDescent="0.2">
      <c r="A43" s="3">
        <v>2017</v>
      </c>
      <c r="B43" s="7" t="s">
        <v>45</v>
      </c>
      <c r="C43" s="5">
        <v>1263521126</v>
      </c>
      <c r="D43" s="6">
        <f t="shared" si="9"/>
        <v>1660266759.5640001</v>
      </c>
      <c r="E43" s="8">
        <v>0.71</v>
      </c>
      <c r="F43" s="8">
        <v>0.8</v>
      </c>
      <c r="G43" s="8">
        <f t="shared" si="0"/>
        <v>9.000000000000008E-2</v>
      </c>
      <c r="H43" s="8">
        <f t="shared" si="1"/>
        <v>9.000000000000008E-2</v>
      </c>
      <c r="I43" s="3" t="s">
        <v>116</v>
      </c>
      <c r="J43" s="3" t="s">
        <v>123</v>
      </c>
      <c r="S43" s="10"/>
      <c r="T43" s="2"/>
      <c r="U43" s="11"/>
      <c r="BH43" s="3">
        <v>41</v>
      </c>
      <c r="BI43" s="10" t="s">
        <v>112</v>
      </c>
      <c r="BJ43" s="2" t="s">
        <v>116</v>
      </c>
    </row>
    <row r="44" spans="1:62" x14ac:dyDescent="0.2">
      <c r="A44" s="3">
        <v>2017</v>
      </c>
      <c r="B44" s="7" t="s">
        <v>46</v>
      </c>
      <c r="C44" s="5">
        <v>1236005118</v>
      </c>
      <c r="D44" s="6">
        <f t="shared" si="9"/>
        <v>1624110725.052</v>
      </c>
      <c r="E44" s="8">
        <v>0.67</v>
      </c>
      <c r="F44" s="12">
        <v>0.71499999999999997</v>
      </c>
      <c r="G44" s="8">
        <f t="shared" si="0"/>
        <v>4.4999999999999929E-2</v>
      </c>
      <c r="H44" s="8">
        <f t="shared" si="1"/>
        <v>4.4999999999999929E-2</v>
      </c>
      <c r="I44" s="3" t="s">
        <v>116</v>
      </c>
      <c r="J44" s="3" t="s">
        <v>122</v>
      </c>
      <c r="S44" s="10"/>
      <c r="T44" s="2"/>
      <c r="U44" s="11"/>
      <c r="BH44" s="3">
        <v>42</v>
      </c>
      <c r="BI44" s="10" t="s">
        <v>45</v>
      </c>
      <c r="BJ44" s="2" t="s">
        <v>116</v>
      </c>
    </row>
    <row r="45" spans="1:62" x14ac:dyDescent="0.2">
      <c r="A45" s="3">
        <v>2017</v>
      </c>
      <c r="B45" s="7" t="s">
        <v>47</v>
      </c>
      <c r="C45" s="5">
        <v>1034799409</v>
      </c>
      <c r="D45" s="6">
        <f t="shared" si="9"/>
        <v>1359726423.4260001</v>
      </c>
      <c r="E45" s="8">
        <v>0.59</v>
      </c>
      <c r="F45" s="8">
        <v>0.53</v>
      </c>
      <c r="G45" s="8">
        <f t="shared" si="0"/>
        <v>-5.9999999999999942E-2</v>
      </c>
      <c r="H45" s="8">
        <f t="shared" si="1"/>
        <v>5.9999999999999942E-2</v>
      </c>
      <c r="I45" s="3" t="s">
        <v>116</v>
      </c>
      <c r="J45" s="3" t="s">
        <v>123</v>
      </c>
      <c r="S45" s="10"/>
      <c r="T45" s="2"/>
      <c r="U45" s="11"/>
      <c r="BH45" s="3">
        <v>43</v>
      </c>
      <c r="BI45" s="10" t="s">
        <v>46</v>
      </c>
      <c r="BJ45" s="2" t="s">
        <v>116</v>
      </c>
    </row>
    <row r="46" spans="1:62" x14ac:dyDescent="0.2">
      <c r="A46" s="3">
        <v>2017</v>
      </c>
      <c r="B46" s="7" t="s">
        <v>48</v>
      </c>
      <c r="C46" s="5">
        <v>962077546</v>
      </c>
      <c r="D46" s="6">
        <f>C46*1.314</f>
        <v>1264169895.444</v>
      </c>
      <c r="E46" s="8">
        <v>0.76</v>
      </c>
      <c r="F46" s="8">
        <v>0.87</v>
      </c>
      <c r="G46" s="8">
        <f t="shared" si="0"/>
        <v>0.10999999999999999</v>
      </c>
      <c r="H46" s="8">
        <f t="shared" si="1"/>
        <v>0.10999999999999999</v>
      </c>
      <c r="I46" s="3" t="s">
        <v>116</v>
      </c>
      <c r="J46" s="3" t="s">
        <v>129</v>
      </c>
      <c r="S46" s="10"/>
      <c r="T46" s="2"/>
      <c r="U46" s="11"/>
      <c r="BH46" s="3">
        <v>44</v>
      </c>
      <c r="BI46" s="10" t="s">
        <v>47</v>
      </c>
      <c r="BJ46" s="2" t="s">
        <v>116</v>
      </c>
    </row>
    <row r="47" spans="1:62" x14ac:dyDescent="0.2">
      <c r="A47" s="3">
        <v>2016</v>
      </c>
      <c r="B47" s="7" t="s">
        <v>49</v>
      </c>
      <c r="C47" s="5">
        <v>1153296293</v>
      </c>
      <c r="D47" s="6">
        <f t="shared" ref="D47:D50" si="10">C47*1.342</f>
        <v>1547723625.2060001</v>
      </c>
      <c r="E47" s="8">
        <v>0.9</v>
      </c>
      <c r="F47" s="8">
        <v>0.89</v>
      </c>
      <c r="G47" s="8">
        <f t="shared" si="0"/>
        <v>-1.0000000000000009E-2</v>
      </c>
      <c r="H47" s="8">
        <f t="shared" si="1"/>
        <v>1.0000000000000009E-2</v>
      </c>
      <c r="I47" s="3" t="s">
        <v>116</v>
      </c>
      <c r="J47" s="3" t="s">
        <v>122</v>
      </c>
      <c r="S47" s="10"/>
      <c r="T47" s="2"/>
      <c r="U47" s="11"/>
      <c r="BH47" s="3">
        <v>45</v>
      </c>
      <c r="BI47" s="10" t="s">
        <v>48</v>
      </c>
      <c r="BJ47" s="2" t="s">
        <v>116</v>
      </c>
    </row>
    <row r="48" spans="1:62" x14ac:dyDescent="0.2">
      <c r="A48" s="3">
        <v>2016</v>
      </c>
      <c r="B48" s="7" t="s">
        <v>50</v>
      </c>
      <c r="C48" s="5">
        <v>1056057273</v>
      </c>
      <c r="D48" s="6">
        <f t="shared" si="10"/>
        <v>1417228860.3660002</v>
      </c>
      <c r="E48" s="8">
        <v>0.85</v>
      </c>
      <c r="F48" s="8">
        <v>0.87</v>
      </c>
      <c r="G48" s="8">
        <f t="shared" si="0"/>
        <v>2.0000000000000018E-2</v>
      </c>
      <c r="H48" s="8">
        <f t="shared" si="1"/>
        <v>2.0000000000000018E-2</v>
      </c>
      <c r="I48" s="3" t="s">
        <v>116</v>
      </c>
      <c r="J48" s="3" t="s">
        <v>124</v>
      </c>
      <c r="S48" s="10"/>
      <c r="T48" s="2"/>
      <c r="U48" s="11"/>
      <c r="BH48" s="3">
        <v>46</v>
      </c>
      <c r="BI48" s="10" t="s">
        <v>49</v>
      </c>
      <c r="BJ48" s="2" t="s">
        <v>116</v>
      </c>
    </row>
    <row r="49" spans="1:62" x14ac:dyDescent="0.2">
      <c r="A49" s="3">
        <v>2016</v>
      </c>
      <c r="B49" s="7" t="s">
        <v>51</v>
      </c>
      <c r="C49" s="5">
        <v>1028570889</v>
      </c>
      <c r="D49" s="6">
        <f t="shared" si="10"/>
        <v>1380342133.0380001</v>
      </c>
      <c r="E49" s="8">
        <v>0.94</v>
      </c>
      <c r="F49" s="8">
        <v>0.86</v>
      </c>
      <c r="G49" s="8">
        <f t="shared" si="0"/>
        <v>-7.999999999999996E-2</v>
      </c>
      <c r="H49" s="8">
        <f t="shared" si="1"/>
        <v>7.999999999999996E-2</v>
      </c>
      <c r="I49" s="3" t="s">
        <v>116</v>
      </c>
      <c r="J49" s="3" t="s">
        <v>123</v>
      </c>
      <c r="S49" s="10"/>
      <c r="T49" s="2"/>
      <c r="U49" s="11"/>
      <c r="BH49" s="3">
        <v>47</v>
      </c>
      <c r="BI49" s="10" t="s">
        <v>50</v>
      </c>
      <c r="BJ49" s="2" t="s">
        <v>116</v>
      </c>
    </row>
    <row r="50" spans="1:62" x14ac:dyDescent="0.2">
      <c r="A50" s="3">
        <v>2016</v>
      </c>
      <c r="B50" s="7" t="s">
        <v>52</v>
      </c>
      <c r="C50" s="5">
        <v>1023784195</v>
      </c>
      <c r="D50" s="6">
        <f t="shared" si="10"/>
        <v>1373918389.6900001</v>
      </c>
      <c r="E50" s="8">
        <v>0.98</v>
      </c>
      <c r="F50" s="8">
        <v>0.92</v>
      </c>
      <c r="G50" s="8">
        <f t="shared" si="0"/>
        <v>-5.9999999999999942E-2</v>
      </c>
      <c r="H50" s="8">
        <f t="shared" si="1"/>
        <v>5.9999999999999942E-2</v>
      </c>
      <c r="I50" s="3" t="s">
        <v>117</v>
      </c>
      <c r="J50" s="3" t="s">
        <v>123</v>
      </c>
      <c r="S50" s="10"/>
      <c r="T50" s="2"/>
      <c r="U50" s="11"/>
      <c r="BH50" s="3">
        <v>48</v>
      </c>
      <c r="BI50" s="10" t="s">
        <v>51</v>
      </c>
      <c r="BJ50" s="2" t="s">
        <v>116</v>
      </c>
    </row>
    <row r="51" spans="1:62" x14ac:dyDescent="0.2">
      <c r="A51" s="3">
        <v>2016</v>
      </c>
      <c r="B51" s="7" t="s">
        <v>53</v>
      </c>
      <c r="C51" s="5">
        <v>966550600</v>
      </c>
      <c r="D51" s="6">
        <f>C51*1.342</f>
        <v>1297110905.2</v>
      </c>
      <c r="E51" s="8">
        <v>0.95</v>
      </c>
      <c r="F51" s="8">
        <v>0.86</v>
      </c>
      <c r="G51" s="8">
        <f t="shared" si="0"/>
        <v>-8.9999999999999969E-2</v>
      </c>
      <c r="H51" s="8">
        <f t="shared" si="1"/>
        <v>8.9999999999999969E-2</v>
      </c>
      <c r="I51" s="3" t="s">
        <v>116</v>
      </c>
      <c r="J51" s="3" t="s">
        <v>123</v>
      </c>
      <c r="S51" s="10"/>
      <c r="T51" s="2"/>
      <c r="U51" s="11"/>
      <c r="BH51" s="3">
        <v>49</v>
      </c>
      <c r="BI51" s="10" t="s">
        <v>52</v>
      </c>
      <c r="BJ51" s="2" t="s">
        <v>117</v>
      </c>
    </row>
    <row r="52" spans="1:62" x14ac:dyDescent="0.2">
      <c r="A52" s="3">
        <v>2015</v>
      </c>
      <c r="B52" s="7" t="s">
        <v>54</v>
      </c>
      <c r="C52" s="5">
        <v>2068223624</v>
      </c>
      <c r="D52" s="6">
        <f t="shared" ref="D52:D55" si="11">C52*1.359</f>
        <v>2810715905.0159998</v>
      </c>
      <c r="E52" s="8">
        <v>0.93</v>
      </c>
      <c r="F52" s="8">
        <v>0.85</v>
      </c>
      <c r="G52" s="8">
        <f t="shared" si="0"/>
        <v>-8.0000000000000071E-2</v>
      </c>
      <c r="H52" s="8">
        <f t="shared" si="1"/>
        <v>8.0000000000000071E-2</v>
      </c>
      <c r="I52" s="3" t="s">
        <v>116</v>
      </c>
      <c r="J52" s="3" t="s">
        <v>124</v>
      </c>
      <c r="S52" s="10"/>
      <c r="T52" s="2"/>
      <c r="U52" s="11"/>
      <c r="BH52" s="3">
        <v>50</v>
      </c>
      <c r="BI52" s="10" t="s">
        <v>53</v>
      </c>
      <c r="BJ52" s="2" t="s">
        <v>116</v>
      </c>
    </row>
    <row r="53" spans="1:62" x14ac:dyDescent="0.2">
      <c r="A53" s="3">
        <v>2015</v>
      </c>
      <c r="B53" s="7" t="s">
        <v>55</v>
      </c>
      <c r="C53" s="5">
        <v>1670400637</v>
      </c>
      <c r="D53" s="6">
        <f t="shared" si="11"/>
        <v>2270074465.6830001</v>
      </c>
      <c r="E53" s="8">
        <v>0.71</v>
      </c>
      <c r="F53" s="8">
        <v>0.78</v>
      </c>
      <c r="G53" s="8">
        <f t="shared" si="0"/>
        <v>7.0000000000000062E-2</v>
      </c>
      <c r="H53" s="8">
        <f t="shared" si="1"/>
        <v>7.0000000000000062E-2</v>
      </c>
      <c r="I53" s="3" t="s">
        <v>116</v>
      </c>
      <c r="J53" s="3" t="s">
        <v>129</v>
      </c>
      <c r="S53" s="10"/>
      <c r="T53" s="2"/>
      <c r="U53" s="11"/>
      <c r="BH53" s="3">
        <v>51</v>
      </c>
      <c r="BI53" s="10" t="s">
        <v>113</v>
      </c>
      <c r="BJ53" s="2" t="s">
        <v>116</v>
      </c>
    </row>
    <row r="54" spans="1:62" x14ac:dyDescent="0.2">
      <c r="A54" s="3">
        <v>2015</v>
      </c>
      <c r="B54" s="7" t="s">
        <v>56</v>
      </c>
      <c r="C54" s="5">
        <v>1515047671</v>
      </c>
      <c r="D54" s="6">
        <f t="shared" si="11"/>
        <v>2058949784.8889999</v>
      </c>
      <c r="E54" s="8">
        <v>0.81</v>
      </c>
      <c r="F54" s="8">
        <v>0.82</v>
      </c>
      <c r="G54" s="8">
        <f t="shared" si="0"/>
        <v>9.9999999999998979E-3</v>
      </c>
      <c r="H54" s="8">
        <f t="shared" si="1"/>
        <v>9.9999999999998979E-3</v>
      </c>
      <c r="I54" s="3" t="s">
        <v>116</v>
      </c>
      <c r="J54" s="3" t="s">
        <v>122</v>
      </c>
      <c r="S54" s="10"/>
      <c r="T54" s="2"/>
      <c r="U54" s="11"/>
      <c r="BH54" s="3">
        <v>52</v>
      </c>
      <c r="BI54" s="10" t="s">
        <v>55</v>
      </c>
      <c r="BJ54" s="2" t="s">
        <v>116</v>
      </c>
    </row>
    <row r="55" spans="1:62" x14ac:dyDescent="0.2">
      <c r="A55" s="3">
        <v>2015</v>
      </c>
      <c r="B55" s="7" t="s">
        <v>57</v>
      </c>
      <c r="C55" s="5">
        <v>1402805868</v>
      </c>
      <c r="D55" s="6">
        <f t="shared" si="11"/>
        <v>1906413174.612</v>
      </c>
      <c r="E55" s="8">
        <v>0.75</v>
      </c>
      <c r="F55" s="8">
        <v>0.83</v>
      </c>
      <c r="G55" s="8">
        <f t="shared" si="0"/>
        <v>7.999999999999996E-2</v>
      </c>
      <c r="H55" s="8">
        <f t="shared" si="1"/>
        <v>7.999999999999996E-2</v>
      </c>
      <c r="I55" s="3" t="s">
        <v>116</v>
      </c>
      <c r="J55" s="3" t="s">
        <v>122</v>
      </c>
      <c r="K55" s="13"/>
      <c r="S55" s="10"/>
      <c r="T55" s="2"/>
      <c r="U55" s="11"/>
      <c r="BH55" s="3">
        <v>53</v>
      </c>
      <c r="BI55" s="10" t="s">
        <v>56</v>
      </c>
      <c r="BJ55" s="2" t="s">
        <v>116</v>
      </c>
    </row>
    <row r="56" spans="1:62" x14ac:dyDescent="0.2">
      <c r="A56" s="3">
        <v>2015</v>
      </c>
      <c r="B56" s="7" t="s">
        <v>58</v>
      </c>
      <c r="C56" s="5">
        <v>1159398397</v>
      </c>
      <c r="D56" s="6">
        <f>C56*1.359</f>
        <v>1575622421.523</v>
      </c>
      <c r="E56" s="8">
        <v>0.56000000000000005</v>
      </c>
      <c r="F56" s="8">
        <v>0.49</v>
      </c>
      <c r="G56" s="8">
        <f t="shared" si="0"/>
        <v>-7.0000000000000062E-2</v>
      </c>
      <c r="H56" s="8">
        <f t="shared" si="1"/>
        <v>7.0000000000000062E-2</v>
      </c>
      <c r="I56" s="3" t="s">
        <v>116</v>
      </c>
      <c r="J56" s="3" t="s">
        <v>123</v>
      </c>
      <c r="K56" s="13"/>
      <c r="S56" s="10"/>
      <c r="T56" s="2"/>
      <c r="U56" s="11"/>
      <c r="BH56" s="3">
        <v>54</v>
      </c>
      <c r="BI56" s="10" t="s">
        <v>57</v>
      </c>
      <c r="BJ56" s="2" t="s">
        <v>116</v>
      </c>
    </row>
    <row r="57" spans="1:62" x14ac:dyDescent="0.2">
      <c r="A57" s="3">
        <v>2014</v>
      </c>
      <c r="B57" s="7" t="s">
        <v>59</v>
      </c>
      <c r="C57" s="5">
        <v>1104054072</v>
      </c>
      <c r="D57" s="6">
        <f t="shared" ref="D57:D60" si="12">C57*1.361</f>
        <v>1502617591.9920001</v>
      </c>
      <c r="E57" s="8">
        <v>0.18</v>
      </c>
      <c r="F57" s="8">
        <v>0.5</v>
      </c>
      <c r="G57" s="8">
        <f t="shared" si="0"/>
        <v>0.32</v>
      </c>
      <c r="H57" s="8">
        <f t="shared" si="1"/>
        <v>0.32</v>
      </c>
      <c r="I57" s="3" t="s">
        <v>116</v>
      </c>
      <c r="J57" s="3" t="s">
        <v>122</v>
      </c>
      <c r="K57" s="13"/>
      <c r="S57" s="10"/>
      <c r="T57" s="2"/>
      <c r="U57" s="11"/>
      <c r="BH57" s="3">
        <v>55</v>
      </c>
      <c r="BI57" s="10" t="s">
        <v>58</v>
      </c>
      <c r="BJ57" s="2" t="s">
        <v>116</v>
      </c>
    </row>
    <row r="58" spans="1:62" x14ac:dyDescent="0.2">
      <c r="A58" s="3">
        <v>2014</v>
      </c>
      <c r="B58" s="7" t="s">
        <v>60</v>
      </c>
      <c r="C58" s="5">
        <v>956019788</v>
      </c>
      <c r="D58" s="6">
        <f t="shared" si="12"/>
        <v>1301142931.4679999</v>
      </c>
      <c r="E58" s="8">
        <v>0.59</v>
      </c>
      <c r="F58" s="8">
        <v>0.74</v>
      </c>
      <c r="G58" s="8">
        <f t="shared" si="0"/>
        <v>0.15000000000000002</v>
      </c>
      <c r="H58" s="8">
        <f t="shared" si="1"/>
        <v>0.15000000000000002</v>
      </c>
      <c r="I58" s="3" t="s">
        <v>116</v>
      </c>
      <c r="J58" s="3" t="s">
        <v>128</v>
      </c>
      <c r="K58" s="13"/>
      <c r="S58" s="10"/>
      <c r="T58" s="2"/>
      <c r="U58" s="11"/>
      <c r="BH58" s="3">
        <v>56</v>
      </c>
      <c r="BI58" s="10" t="s">
        <v>59</v>
      </c>
      <c r="BJ58" s="2" t="s">
        <v>116</v>
      </c>
    </row>
    <row r="59" spans="1:62" x14ac:dyDescent="0.2">
      <c r="A59" s="3">
        <v>2014</v>
      </c>
      <c r="B59" s="7" t="s">
        <v>61</v>
      </c>
      <c r="C59" s="5">
        <v>772776600</v>
      </c>
      <c r="D59" s="6">
        <f t="shared" si="12"/>
        <v>1051748952.6</v>
      </c>
      <c r="E59" s="12">
        <v>0.91500000000000004</v>
      </c>
      <c r="F59" s="8">
        <v>0.92</v>
      </c>
      <c r="G59" s="8">
        <f t="shared" si="0"/>
        <v>5.0000000000000044E-3</v>
      </c>
      <c r="H59" s="8">
        <f t="shared" si="1"/>
        <v>5.0000000000000044E-3</v>
      </c>
      <c r="I59" s="3" t="s">
        <v>116</v>
      </c>
      <c r="J59" s="3" t="s">
        <v>124</v>
      </c>
      <c r="S59" s="10"/>
      <c r="T59" s="2"/>
      <c r="U59" s="11"/>
      <c r="BH59" s="3">
        <v>57</v>
      </c>
      <c r="BI59" s="10" t="s">
        <v>60</v>
      </c>
      <c r="BJ59" s="2" t="s">
        <v>116</v>
      </c>
    </row>
    <row r="60" spans="1:62" x14ac:dyDescent="0.2">
      <c r="A60" s="3">
        <v>2014</v>
      </c>
      <c r="B60" s="7" t="s">
        <v>62</v>
      </c>
      <c r="C60" s="5">
        <v>758410378</v>
      </c>
      <c r="D60" s="6">
        <f t="shared" si="12"/>
        <v>1032196524.4579999</v>
      </c>
      <c r="E60" s="8">
        <v>0.54</v>
      </c>
      <c r="F60" s="8">
        <v>0.7</v>
      </c>
      <c r="G60" s="8">
        <f t="shared" si="0"/>
        <v>0.15999999999999992</v>
      </c>
      <c r="H60" s="8">
        <f t="shared" si="1"/>
        <v>0.15999999999999992</v>
      </c>
      <c r="I60" s="3" t="s">
        <v>116</v>
      </c>
      <c r="J60" s="3" t="s">
        <v>128</v>
      </c>
      <c r="S60" s="10"/>
      <c r="T60" s="2"/>
      <c r="U60" s="11"/>
      <c r="BH60" s="3">
        <v>58</v>
      </c>
      <c r="BI60" s="10" t="s">
        <v>61</v>
      </c>
      <c r="BJ60" s="2" t="s">
        <v>116</v>
      </c>
    </row>
    <row r="61" spans="1:62" x14ac:dyDescent="0.2">
      <c r="A61" s="3">
        <v>2014</v>
      </c>
      <c r="B61" s="7" t="s">
        <v>63</v>
      </c>
      <c r="C61" s="5">
        <v>755356711</v>
      </c>
      <c r="D61" s="6">
        <f>C61*1.361</f>
        <v>1028040483.671</v>
      </c>
      <c r="E61" s="8">
        <v>0.69</v>
      </c>
      <c r="F61" s="8">
        <v>0.71</v>
      </c>
      <c r="G61" s="8">
        <f t="shared" si="0"/>
        <v>2.0000000000000018E-2</v>
      </c>
      <c r="H61" s="8">
        <f t="shared" si="1"/>
        <v>2.0000000000000018E-2</v>
      </c>
      <c r="I61" s="3" t="s">
        <v>116</v>
      </c>
      <c r="J61" s="3" t="s">
        <v>124</v>
      </c>
      <c r="S61" s="10"/>
      <c r="T61" s="2"/>
      <c r="U61" s="11"/>
      <c r="BH61" s="3">
        <v>59</v>
      </c>
      <c r="BI61" s="10" t="s">
        <v>62</v>
      </c>
      <c r="BJ61" s="2" t="s">
        <v>117</v>
      </c>
    </row>
    <row r="62" spans="1:62" x14ac:dyDescent="0.2">
      <c r="A62" s="3">
        <v>2013</v>
      </c>
      <c r="B62" s="7" t="s">
        <v>64</v>
      </c>
      <c r="C62" s="5">
        <v>1284879663</v>
      </c>
      <c r="D62" s="6">
        <f t="shared" ref="D62:D65" si="13">C62*1.383</f>
        <v>1776988573.9289999</v>
      </c>
      <c r="E62" s="8">
        <v>0.89</v>
      </c>
      <c r="F62" s="8">
        <v>0.85</v>
      </c>
      <c r="G62" s="8">
        <f t="shared" si="0"/>
        <v>-4.0000000000000036E-2</v>
      </c>
      <c r="H62" s="8">
        <f t="shared" si="1"/>
        <v>4.0000000000000036E-2</v>
      </c>
      <c r="I62" s="3" t="s">
        <v>117</v>
      </c>
      <c r="J62" s="3" t="s">
        <v>123</v>
      </c>
      <c r="S62" s="10"/>
      <c r="T62" s="2"/>
      <c r="U62" s="11"/>
      <c r="BH62" s="3">
        <v>60</v>
      </c>
      <c r="BI62" s="10" t="s">
        <v>106</v>
      </c>
      <c r="BJ62" s="2" t="s">
        <v>116</v>
      </c>
    </row>
    <row r="63" spans="1:62" x14ac:dyDescent="0.2">
      <c r="A63" s="3">
        <v>2013</v>
      </c>
      <c r="B63" s="7" t="s">
        <v>65</v>
      </c>
      <c r="C63" s="5">
        <v>1214811252</v>
      </c>
      <c r="D63" s="6">
        <f t="shared" si="13"/>
        <v>1680083961.516</v>
      </c>
      <c r="E63" s="8">
        <v>0.79</v>
      </c>
      <c r="F63" s="8">
        <v>0.78</v>
      </c>
      <c r="G63" s="8">
        <f t="shared" si="0"/>
        <v>-1.0000000000000009E-2</v>
      </c>
      <c r="H63" s="8">
        <f t="shared" si="1"/>
        <v>1.0000000000000009E-2</v>
      </c>
      <c r="I63" s="3" t="s">
        <v>116</v>
      </c>
      <c r="J63" s="3" t="s">
        <v>122</v>
      </c>
      <c r="S63" s="10"/>
      <c r="T63" s="2"/>
      <c r="U63" s="11"/>
      <c r="BH63" s="3">
        <v>61</v>
      </c>
      <c r="BI63" s="10" t="s">
        <v>64</v>
      </c>
      <c r="BJ63" s="2" t="s">
        <v>117</v>
      </c>
    </row>
    <row r="64" spans="1:62" x14ac:dyDescent="0.2">
      <c r="A64" s="3">
        <v>2013</v>
      </c>
      <c r="B64" s="7" t="s">
        <v>66</v>
      </c>
      <c r="C64" s="5">
        <v>970766005</v>
      </c>
      <c r="D64" s="6">
        <f t="shared" si="13"/>
        <v>1342569384.915</v>
      </c>
      <c r="E64" s="8">
        <v>0.74</v>
      </c>
      <c r="F64" s="8">
        <v>0.85</v>
      </c>
      <c r="G64" s="8">
        <f t="shared" si="0"/>
        <v>0.10999999999999999</v>
      </c>
      <c r="H64" s="8">
        <f t="shared" si="1"/>
        <v>0.10999999999999999</v>
      </c>
      <c r="I64" s="3" t="s">
        <v>116</v>
      </c>
      <c r="J64" s="3" t="s">
        <v>123</v>
      </c>
      <c r="S64" s="10"/>
      <c r="T64" s="2"/>
      <c r="U64" s="11"/>
      <c r="BH64" s="3">
        <v>62</v>
      </c>
      <c r="BI64" s="10" t="s">
        <v>65</v>
      </c>
      <c r="BJ64" s="2" t="s">
        <v>116</v>
      </c>
    </row>
    <row r="65" spans="1:62" x14ac:dyDescent="0.2">
      <c r="A65" s="3">
        <v>2013</v>
      </c>
      <c r="B65" s="7" t="s">
        <v>67</v>
      </c>
      <c r="C65" s="5">
        <v>958366855</v>
      </c>
      <c r="D65" s="6">
        <f t="shared" si="13"/>
        <v>1325421360.4649999</v>
      </c>
      <c r="E65" s="8">
        <v>0.74</v>
      </c>
      <c r="F65" s="8">
        <v>0.85</v>
      </c>
      <c r="G65" s="8">
        <f t="shared" si="0"/>
        <v>0.10999999999999999</v>
      </c>
      <c r="H65" s="8">
        <f t="shared" si="1"/>
        <v>0.10999999999999999</v>
      </c>
      <c r="I65" s="3" t="s">
        <v>116</v>
      </c>
      <c r="J65" s="3" t="s">
        <v>128</v>
      </c>
      <c r="S65" s="10"/>
      <c r="T65" s="2"/>
      <c r="U65" s="11"/>
      <c r="BH65" s="3">
        <v>63</v>
      </c>
      <c r="BI65" s="10" t="s">
        <v>66</v>
      </c>
      <c r="BJ65" s="2" t="s">
        <v>116</v>
      </c>
    </row>
    <row r="66" spans="1:62" x14ac:dyDescent="0.2">
      <c r="A66" s="3">
        <v>2013</v>
      </c>
      <c r="B66" s="7" t="s">
        <v>68</v>
      </c>
      <c r="C66" s="5">
        <v>865011746</v>
      </c>
      <c r="D66" s="6">
        <f>C66*1.383</f>
        <v>1196311244.7179999</v>
      </c>
      <c r="E66" s="8">
        <v>0.9</v>
      </c>
      <c r="F66" s="8">
        <v>0.89</v>
      </c>
      <c r="G66" s="8">
        <f t="shared" si="0"/>
        <v>-1.0000000000000009E-2</v>
      </c>
      <c r="H66" s="8">
        <f t="shared" si="1"/>
        <v>1.0000000000000009E-2</v>
      </c>
      <c r="I66" s="3" t="s">
        <v>116</v>
      </c>
      <c r="J66" s="3" t="s">
        <v>124</v>
      </c>
      <c r="S66" s="10"/>
      <c r="T66" s="2"/>
      <c r="U66" s="11"/>
      <c r="BH66" s="3">
        <v>64</v>
      </c>
      <c r="BI66" s="10" t="s">
        <v>67</v>
      </c>
      <c r="BJ66" s="2" t="s">
        <v>116</v>
      </c>
    </row>
    <row r="67" spans="1:62" x14ac:dyDescent="0.2">
      <c r="A67" s="3">
        <v>2012</v>
      </c>
      <c r="B67" s="7" t="s">
        <v>69</v>
      </c>
      <c r="C67" s="5">
        <v>1518812988</v>
      </c>
      <c r="D67" s="6">
        <f t="shared" ref="D67:D70" si="14">C67*1.403</f>
        <v>2130894622.164</v>
      </c>
      <c r="E67" s="8">
        <v>0.91</v>
      </c>
      <c r="F67" s="8">
        <v>0.91</v>
      </c>
      <c r="G67" s="8">
        <f t="shared" ref="G67:G100" si="15">F67-E67</f>
        <v>0</v>
      </c>
      <c r="H67" s="8">
        <f t="shared" ref="H67:H101" si="16">ABS(G67)</f>
        <v>0</v>
      </c>
      <c r="I67" s="3" t="s">
        <v>116</v>
      </c>
      <c r="J67" s="3" t="s">
        <v>122</v>
      </c>
      <c r="S67" s="10"/>
      <c r="T67" s="2"/>
      <c r="U67" s="11"/>
      <c r="BH67" s="3">
        <v>65</v>
      </c>
      <c r="BI67" s="10" t="s">
        <v>68</v>
      </c>
      <c r="BJ67" s="2" t="s">
        <v>116</v>
      </c>
    </row>
    <row r="68" spans="1:62" x14ac:dyDescent="0.2">
      <c r="A68" s="3">
        <v>2012</v>
      </c>
      <c r="B68" s="7" t="s">
        <v>70</v>
      </c>
      <c r="C68" s="5">
        <v>1108561013</v>
      </c>
      <c r="D68" s="6">
        <f t="shared" si="14"/>
        <v>1555311101.2390001</v>
      </c>
      <c r="E68" s="8">
        <v>0.92</v>
      </c>
      <c r="F68" s="8">
        <v>0.86</v>
      </c>
      <c r="G68" s="8">
        <f t="shared" si="15"/>
        <v>-6.0000000000000053E-2</v>
      </c>
      <c r="H68" s="8">
        <f t="shared" si="16"/>
        <v>6.0000000000000053E-2</v>
      </c>
      <c r="I68" s="3" t="s">
        <v>116</v>
      </c>
      <c r="J68" s="3" t="s">
        <v>122</v>
      </c>
      <c r="S68" s="10"/>
      <c r="T68" s="2"/>
      <c r="U68" s="11"/>
      <c r="BH68" s="3">
        <v>66</v>
      </c>
      <c r="BI68" s="10" t="s">
        <v>69</v>
      </c>
      <c r="BJ68" s="2" t="s">
        <v>116</v>
      </c>
    </row>
    <row r="69" spans="1:62" x14ac:dyDescent="0.2">
      <c r="A69" s="3">
        <v>2012</v>
      </c>
      <c r="B69" s="7" t="s">
        <v>71</v>
      </c>
      <c r="C69" s="5">
        <v>1084939099</v>
      </c>
      <c r="D69" s="6">
        <f t="shared" si="14"/>
        <v>1522169555.8970001</v>
      </c>
      <c r="E69" s="8">
        <v>0.87</v>
      </c>
      <c r="F69" s="8">
        <v>0.9</v>
      </c>
      <c r="G69" s="8">
        <f t="shared" si="15"/>
        <v>3.0000000000000027E-2</v>
      </c>
      <c r="H69" s="8">
        <f t="shared" si="16"/>
        <v>3.0000000000000027E-2</v>
      </c>
      <c r="I69" s="3" t="s">
        <v>116</v>
      </c>
      <c r="J69" s="3" t="s">
        <v>122</v>
      </c>
      <c r="S69" s="10"/>
      <c r="T69" s="2"/>
      <c r="U69" s="11"/>
      <c r="BH69" s="3">
        <v>67</v>
      </c>
      <c r="BI69" s="10" t="s">
        <v>70</v>
      </c>
      <c r="BJ69" s="2" t="s">
        <v>116</v>
      </c>
    </row>
    <row r="70" spans="1:62" x14ac:dyDescent="0.2">
      <c r="A70" s="3">
        <v>2012</v>
      </c>
      <c r="B70" s="7" t="s">
        <v>72</v>
      </c>
      <c r="C70" s="5">
        <v>1017003568</v>
      </c>
      <c r="D70" s="6">
        <f t="shared" si="14"/>
        <v>1426856005.904</v>
      </c>
      <c r="E70" s="8">
        <v>0.64</v>
      </c>
      <c r="F70" s="8">
        <v>0.83</v>
      </c>
      <c r="G70" s="8">
        <f t="shared" si="15"/>
        <v>0.18999999999999995</v>
      </c>
      <c r="H70" s="8">
        <f t="shared" si="16"/>
        <v>0.18999999999999995</v>
      </c>
      <c r="I70" s="3" t="s">
        <v>116</v>
      </c>
      <c r="J70" s="3" t="s">
        <v>128</v>
      </c>
      <c r="S70" s="10"/>
      <c r="T70" s="2"/>
      <c r="U70" s="11"/>
      <c r="BH70" s="3">
        <v>68</v>
      </c>
      <c r="BI70" s="10" t="s">
        <v>71</v>
      </c>
      <c r="BJ70" s="2" t="s">
        <v>116</v>
      </c>
    </row>
    <row r="71" spans="1:62" x14ac:dyDescent="0.2">
      <c r="A71" s="3">
        <v>2012</v>
      </c>
      <c r="B71" s="7" t="s">
        <v>73</v>
      </c>
      <c r="C71" s="5">
        <v>877244782</v>
      </c>
      <c r="D71" s="6">
        <f>C71*1.403</f>
        <v>1230774429.1459999</v>
      </c>
      <c r="E71" s="8">
        <v>0.37</v>
      </c>
      <c r="F71" s="8">
        <v>0.62</v>
      </c>
      <c r="G71" s="8">
        <f t="shared" si="15"/>
        <v>0.25</v>
      </c>
      <c r="H71" s="8">
        <f t="shared" si="16"/>
        <v>0.25</v>
      </c>
      <c r="I71" s="3" t="s">
        <v>116</v>
      </c>
      <c r="J71" s="3" t="s">
        <v>123</v>
      </c>
      <c r="S71" s="10"/>
      <c r="T71" s="2"/>
      <c r="U71" s="11"/>
      <c r="BH71" s="3">
        <v>69</v>
      </c>
      <c r="BI71" s="10" t="s">
        <v>72</v>
      </c>
      <c r="BJ71" s="2" t="s">
        <v>116</v>
      </c>
    </row>
    <row r="72" spans="1:62" x14ac:dyDescent="0.2">
      <c r="A72" s="3">
        <v>2011</v>
      </c>
      <c r="B72" s="7" t="s">
        <v>74</v>
      </c>
      <c r="C72" s="5">
        <v>1341511219</v>
      </c>
      <c r="D72" s="6">
        <f t="shared" ref="D72:D75" si="17">C72*1.432</f>
        <v>1921044065.6079998</v>
      </c>
      <c r="E72" s="8">
        <v>0.96</v>
      </c>
      <c r="F72" s="8">
        <v>0.89</v>
      </c>
      <c r="G72" s="8">
        <f t="shared" si="15"/>
        <v>-6.9999999999999951E-2</v>
      </c>
      <c r="H72" s="8">
        <f t="shared" si="16"/>
        <v>6.9999999999999951E-2</v>
      </c>
      <c r="I72" s="3" t="s">
        <v>116</v>
      </c>
      <c r="J72" s="3" t="s">
        <v>128</v>
      </c>
      <c r="S72" s="10"/>
      <c r="T72" s="2"/>
      <c r="U72" s="11"/>
      <c r="BH72" s="3">
        <v>70</v>
      </c>
      <c r="BI72" s="10" t="s">
        <v>73</v>
      </c>
      <c r="BJ72" s="2" t="s">
        <v>116</v>
      </c>
    </row>
    <row r="73" spans="1:62" x14ac:dyDescent="0.2">
      <c r="A73" s="3">
        <v>2011</v>
      </c>
      <c r="B73" s="7" t="s">
        <v>75</v>
      </c>
      <c r="C73" s="5">
        <v>1123794079</v>
      </c>
      <c r="D73" s="6">
        <f t="shared" si="17"/>
        <v>1609273121.128</v>
      </c>
      <c r="E73" s="8">
        <v>0.35</v>
      </c>
      <c r="F73" s="8">
        <v>0.55000000000000004</v>
      </c>
      <c r="G73" s="8">
        <f t="shared" si="15"/>
        <v>0.20000000000000007</v>
      </c>
      <c r="H73" s="8">
        <f t="shared" si="16"/>
        <v>0.20000000000000007</v>
      </c>
      <c r="I73" s="3" t="s">
        <v>116</v>
      </c>
      <c r="J73" s="3" t="s">
        <v>122</v>
      </c>
      <c r="S73" s="10"/>
      <c r="T73" s="2"/>
      <c r="U73" s="11"/>
      <c r="BH73" s="3">
        <v>71</v>
      </c>
      <c r="BI73" s="10" t="s">
        <v>74</v>
      </c>
      <c r="BJ73" s="2" t="s">
        <v>116</v>
      </c>
    </row>
    <row r="74" spans="1:62" x14ac:dyDescent="0.2">
      <c r="A74" s="3">
        <v>2011</v>
      </c>
      <c r="B74" s="7" t="s">
        <v>76</v>
      </c>
      <c r="C74" s="5">
        <v>1045713802</v>
      </c>
      <c r="D74" s="6">
        <f t="shared" si="17"/>
        <v>1497462164.464</v>
      </c>
      <c r="E74" s="8">
        <v>0.33</v>
      </c>
      <c r="F74" s="8">
        <v>0.54</v>
      </c>
      <c r="G74" s="8">
        <f t="shared" si="15"/>
        <v>0.21000000000000002</v>
      </c>
      <c r="H74" s="8">
        <f t="shared" si="16"/>
        <v>0.21000000000000002</v>
      </c>
      <c r="I74" s="3" t="s">
        <v>116</v>
      </c>
      <c r="J74" s="3" t="s">
        <v>129</v>
      </c>
      <c r="S74" s="10"/>
      <c r="T74" s="2"/>
      <c r="U74" s="11"/>
      <c r="BH74" s="3">
        <v>72</v>
      </c>
      <c r="BI74" s="10" t="s">
        <v>75</v>
      </c>
      <c r="BJ74" s="2" t="s">
        <v>116</v>
      </c>
    </row>
    <row r="75" spans="1:62" x14ac:dyDescent="0.2">
      <c r="A75" s="3">
        <v>2011</v>
      </c>
      <c r="B75" s="7" t="s">
        <v>77</v>
      </c>
      <c r="C75" s="5">
        <v>712205856</v>
      </c>
      <c r="D75" s="6">
        <f t="shared" si="17"/>
        <v>1019878785.7919999</v>
      </c>
      <c r="E75" s="8">
        <v>0.25</v>
      </c>
      <c r="F75" s="8">
        <v>0.55000000000000004</v>
      </c>
      <c r="G75" s="8">
        <f t="shared" si="15"/>
        <v>0.30000000000000004</v>
      </c>
      <c r="H75" s="8">
        <f t="shared" si="16"/>
        <v>0.30000000000000004</v>
      </c>
      <c r="I75" s="3" t="s">
        <v>116</v>
      </c>
      <c r="J75" s="3" t="s">
        <v>130</v>
      </c>
      <c r="S75" s="10"/>
      <c r="T75" s="2"/>
      <c r="U75" s="11"/>
      <c r="BH75" s="3">
        <v>73</v>
      </c>
      <c r="BI75" s="10" t="s">
        <v>76</v>
      </c>
      <c r="BJ75" s="2" t="s">
        <v>116</v>
      </c>
    </row>
    <row r="76" spans="1:62" x14ac:dyDescent="0.2">
      <c r="A76" s="3">
        <v>2011</v>
      </c>
      <c r="B76" s="7" t="s">
        <v>78</v>
      </c>
      <c r="C76" s="5">
        <v>694713380</v>
      </c>
      <c r="D76" s="6">
        <f>C76*1.432</f>
        <v>994829560.15999997</v>
      </c>
      <c r="E76" s="8">
        <v>0.93</v>
      </c>
      <c r="F76" s="8">
        <v>0.86</v>
      </c>
      <c r="G76" s="8">
        <f t="shared" si="15"/>
        <v>-7.0000000000000062E-2</v>
      </c>
      <c r="H76" s="8">
        <f t="shared" si="16"/>
        <v>7.0000000000000062E-2</v>
      </c>
      <c r="I76" s="3" t="s">
        <v>116</v>
      </c>
      <c r="J76" s="3" t="s">
        <v>122</v>
      </c>
      <c r="S76" s="10"/>
      <c r="T76" s="2"/>
      <c r="U76" s="11"/>
      <c r="BH76" s="3">
        <v>74</v>
      </c>
      <c r="BI76" s="10" t="s">
        <v>114</v>
      </c>
      <c r="BJ76" s="2" t="s">
        <v>116</v>
      </c>
    </row>
    <row r="77" spans="1:62" x14ac:dyDescent="0.2">
      <c r="A77" s="3">
        <v>2010</v>
      </c>
      <c r="B77" s="7" t="s">
        <v>79</v>
      </c>
      <c r="C77" s="5">
        <v>1066969703</v>
      </c>
      <c r="D77" s="6">
        <f t="shared" ref="D77:D80" si="18">C77*1.478</f>
        <v>1576981221.0339999</v>
      </c>
      <c r="E77" s="8">
        <v>0.98</v>
      </c>
      <c r="F77" s="8">
        <v>0.89</v>
      </c>
      <c r="G77" s="8">
        <f t="shared" si="15"/>
        <v>-8.9999999999999969E-2</v>
      </c>
      <c r="H77" s="8">
        <f t="shared" si="16"/>
        <v>8.9999999999999969E-2</v>
      </c>
      <c r="I77" s="3" t="s">
        <v>116</v>
      </c>
      <c r="J77" s="3" t="s">
        <v>123</v>
      </c>
      <c r="S77" s="10"/>
      <c r="T77" s="2"/>
      <c r="U77" s="11"/>
      <c r="BH77" s="3">
        <v>75</v>
      </c>
      <c r="BI77" s="10" t="s">
        <v>107</v>
      </c>
      <c r="BJ77" s="2" t="s">
        <v>116</v>
      </c>
    </row>
    <row r="78" spans="1:62" x14ac:dyDescent="0.2">
      <c r="A78" s="3">
        <v>2010</v>
      </c>
      <c r="B78" s="7" t="s">
        <v>80</v>
      </c>
      <c r="C78" s="5">
        <v>1025467110</v>
      </c>
      <c r="D78" s="6">
        <f t="shared" si="18"/>
        <v>1515640388.5799999</v>
      </c>
      <c r="E78" s="8">
        <v>0.51</v>
      </c>
      <c r="F78" s="8">
        <v>0.55000000000000004</v>
      </c>
      <c r="G78" s="8">
        <f t="shared" si="15"/>
        <v>4.0000000000000036E-2</v>
      </c>
      <c r="H78" s="8">
        <f t="shared" si="16"/>
        <v>4.0000000000000036E-2</v>
      </c>
      <c r="I78" s="3" t="s">
        <v>116</v>
      </c>
      <c r="J78" s="3" t="s">
        <v>123</v>
      </c>
      <c r="S78" s="10"/>
      <c r="T78" s="2"/>
      <c r="U78" s="11"/>
      <c r="BH78" s="3">
        <v>76</v>
      </c>
      <c r="BI78" s="10" t="s">
        <v>79</v>
      </c>
      <c r="BJ78" s="2" t="s">
        <v>116</v>
      </c>
    </row>
    <row r="79" spans="1:62" x14ac:dyDescent="0.2">
      <c r="A79" s="3">
        <v>2010</v>
      </c>
      <c r="B79" s="7" t="s">
        <v>81</v>
      </c>
      <c r="C79" s="5">
        <v>960283305</v>
      </c>
      <c r="D79" s="6">
        <f t="shared" si="18"/>
        <v>1419298724.79</v>
      </c>
      <c r="E79" s="8">
        <v>0.77</v>
      </c>
      <c r="F79" s="8">
        <v>0.85</v>
      </c>
      <c r="G79" s="8">
        <f t="shared" si="15"/>
        <v>7.999999999999996E-2</v>
      </c>
      <c r="H79" s="8">
        <f t="shared" si="16"/>
        <v>7.999999999999996E-2</v>
      </c>
      <c r="I79" s="3" t="s">
        <v>116</v>
      </c>
      <c r="J79" s="3" t="s">
        <v>128</v>
      </c>
      <c r="S79" s="10"/>
      <c r="T79" s="2"/>
      <c r="U79" s="11"/>
      <c r="BH79" s="3">
        <v>77</v>
      </c>
      <c r="BI79" s="10" t="s">
        <v>80</v>
      </c>
      <c r="BJ79" s="2" t="s">
        <v>116</v>
      </c>
    </row>
    <row r="80" spans="1:62" x14ac:dyDescent="0.2">
      <c r="A80" s="3">
        <v>2010</v>
      </c>
      <c r="B80" s="7" t="s">
        <v>82</v>
      </c>
      <c r="C80" s="5">
        <v>828258695</v>
      </c>
      <c r="D80" s="6">
        <f t="shared" si="18"/>
        <v>1224166351.21</v>
      </c>
      <c r="E80" s="8">
        <v>0.87</v>
      </c>
      <c r="F80" s="8">
        <v>0.91</v>
      </c>
      <c r="G80" s="8">
        <f t="shared" si="15"/>
        <v>4.0000000000000036E-2</v>
      </c>
      <c r="H80" s="8">
        <f t="shared" si="16"/>
        <v>4.0000000000000036E-2</v>
      </c>
      <c r="I80" s="3" t="s">
        <v>117</v>
      </c>
      <c r="J80" s="3" t="s">
        <v>124</v>
      </c>
      <c r="S80" s="10"/>
      <c r="T80" s="2"/>
      <c r="U80" s="11"/>
      <c r="BH80" s="3">
        <v>78</v>
      </c>
      <c r="BI80" s="10" t="s">
        <v>81</v>
      </c>
      <c r="BJ80" s="2" t="s">
        <v>116</v>
      </c>
    </row>
    <row r="81" spans="1:62" x14ac:dyDescent="0.2">
      <c r="A81" s="3">
        <v>2010</v>
      </c>
      <c r="B81" s="7" t="s">
        <v>83</v>
      </c>
      <c r="C81" s="5">
        <v>752600867</v>
      </c>
      <c r="D81" s="6">
        <f>C81*1.478</f>
        <v>1112344081.4259999</v>
      </c>
      <c r="E81" s="8">
        <v>0.56999999999999995</v>
      </c>
      <c r="F81" s="8">
        <v>0.54</v>
      </c>
      <c r="G81" s="8">
        <f t="shared" si="15"/>
        <v>-2.9999999999999916E-2</v>
      </c>
      <c r="H81" s="8">
        <f t="shared" si="16"/>
        <v>2.9999999999999916E-2</v>
      </c>
      <c r="I81" s="3" t="s">
        <v>116</v>
      </c>
      <c r="J81" s="3" t="s">
        <v>123</v>
      </c>
      <c r="S81" s="10"/>
      <c r="T81" s="2"/>
      <c r="U81" s="11"/>
      <c r="BH81" s="3">
        <v>79</v>
      </c>
      <c r="BI81" s="10" t="s">
        <v>82</v>
      </c>
      <c r="BJ81" s="2" t="s">
        <v>117</v>
      </c>
    </row>
    <row r="82" spans="1:62" x14ac:dyDescent="0.2">
      <c r="A82" s="3">
        <v>2009</v>
      </c>
      <c r="B82" s="7" t="s">
        <v>84</v>
      </c>
      <c r="C82" s="5">
        <v>2743577587</v>
      </c>
      <c r="D82" s="6">
        <f t="shared" ref="D82:D85" si="19">C82*1.502</f>
        <v>4120853535.6739998</v>
      </c>
      <c r="E82" s="8">
        <v>0.82</v>
      </c>
      <c r="F82" s="8">
        <v>0.82</v>
      </c>
      <c r="G82" s="8">
        <f t="shared" si="15"/>
        <v>0</v>
      </c>
      <c r="H82" s="8">
        <f t="shared" si="16"/>
        <v>0</v>
      </c>
      <c r="I82" s="3" t="s">
        <v>117</v>
      </c>
      <c r="J82" s="3" t="s">
        <v>124</v>
      </c>
      <c r="S82" s="10"/>
      <c r="T82" s="2"/>
      <c r="U82" s="11"/>
      <c r="BH82" s="3">
        <v>80</v>
      </c>
      <c r="BI82" s="10" t="s">
        <v>83</v>
      </c>
      <c r="BJ82" s="2" t="s">
        <v>116</v>
      </c>
    </row>
    <row r="83" spans="1:62" x14ac:dyDescent="0.2">
      <c r="A83" s="3">
        <v>2009</v>
      </c>
      <c r="B83" s="7" t="s">
        <v>85</v>
      </c>
      <c r="C83" s="5">
        <v>933959197</v>
      </c>
      <c r="D83" s="6">
        <f t="shared" si="19"/>
        <v>1402806713.8940001</v>
      </c>
      <c r="E83" s="12">
        <v>0.83499999999999996</v>
      </c>
      <c r="F83" s="8">
        <v>0.78</v>
      </c>
      <c r="G83" s="8">
        <f t="shared" si="15"/>
        <v>-5.4999999999999938E-2</v>
      </c>
      <c r="H83" s="8">
        <f t="shared" si="16"/>
        <v>5.4999999999999938E-2</v>
      </c>
      <c r="I83" s="3" t="s">
        <v>116</v>
      </c>
      <c r="J83" s="3" t="s">
        <v>128</v>
      </c>
      <c r="S83" s="10"/>
      <c r="T83" s="2"/>
      <c r="U83" s="11"/>
      <c r="BH83" s="3">
        <v>81</v>
      </c>
      <c r="BI83" s="10" t="s">
        <v>84</v>
      </c>
      <c r="BJ83" s="2" t="s">
        <v>117</v>
      </c>
    </row>
    <row r="84" spans="1:62" x14ac:dyDescent="0.2">
      <c r="A84" s="3">
        <v>2009</v>
      </c>
      <c r="B84" s="7" t="s">
        <v>86</v>
      </c>
      <c r="C84" s="5">
        <v>886686817</v>
      </c>
      <c r="D84" s="6">
        <f t="shared" si="19"/>
        <v>1331803599.1340001</v>
      </c>
      <c r="E84" s="8">
        <v>0.46</v>
      </c>
      <c r="F84" s="8">
        <v>0.63</v>
      </c>
      <c r="G84" s="8">
        <f t="shared" si="15"/>
        <v>0.16999999999999998</v>
      </c>
      <c r="H84" s="8">
        <f t="shared" si="16"/>
        <v>0.16999999999999998</v>
      </c>
      <c r="I84" s="3" t="s">
        <v>116</v>
      </c>
      <c r="J84" s="3" t="s">
        <v>123</v>
      </c>
      <c r="S84" s="10"/>
      <c r="T84" s="2"/>
      <c r="U84" s="11"/>
      <c r="BH84" s="3">
        <v>82</v>
      </c>
      <c r="BI84" s="10" t="s">
        <v>85</v>
      </c>
      <c r="BJ84" s="2" t="s">
        <v>116</v>
      </c>
    </row>
    <row r="85" spans="1:62" x14ac:dyDescent="0.2">
      <c r="A85" s="3">
        <v>2009</v>
      </c>
      <c r="B85" s="7" t="s">
        <v>87</v>
      </c>
      <c r="C85" s="5">
        <v>836303693</v>
      </c>
      <c r="D85" s="6">
        <f t="shared" si="19"/>
        <v>1256128146.8859999</v>
      </c>
      <c r="E85" s="8">
        <v>0.2</v>
      </c>
      <c r="F85" s="8">
        <v>0.56999999999999995</v>
      </c>
      <c r="G85" s="8">
        <f t="shared" si="15"/>
        <v>0.36999999999999994</v>
      </c>
      <c r="H85" s="8">
        <f t="shared" si="16"/>
        <v>0.36999999999999994</v>
      </c>
      <c r="I85" s="3" t="s">
        <v>116</v>
      </c>
      <c r="J85" s="3" t="s">
        <v>122</v>
      </c>
      <c r="S85" s="10"/>
      <c r="T85" s="2"/>
      <c r="U85" s="11"/>
      <c r="BH85" s="3">
        <v>83</v>
      </c>
      <c r="BI85" s="10" t="s">
        <v>86</v>
      </c>
      <c r="BJ85" s="2" t="s">
        <v>116</v>
      </c>
    </row>
    <row r="86" spans="1:62" x14ac:dyDescent="0.2">
      <c r="A86" s="3">
        <v>2009</v>
      </c>
      <c r="B86" s="7">
        <v>2012</v>
      </c>
      <c r="C86" s="5">
        <v>769679473</v>
      </c>
      <c r="D86" s="6">
        <f>C86*1.502</f>
        <v>1156058568.4460001</v>
      </c>
      <c r="E86" s="8">
        <v>0.39</v>
      </c>
      <c r="F86" s="8">
        <v>0.52</v>
      </c>
      <c r="G86" s="8">
        <f t="shared" si="15"/>
        <v>0.13</v>
      </c>
      <c r="H86" s="8">
        <f t="shared" si="16"/>
        <v>0.13</v>
      </c>
      <c r="I86" s="3" t="s">
        <v>117</v>
      </c>
      <c r="J86" s="3" t="s">
        <v>122</v>
      </c>
      <c r="S86" s="10"/>
      <c r="T86" s="2"/>
      <c r="U86" s="11"/>
      <c r="BH86" s="3">
        <v>84</v>
      </c>
      <c r="BI86" s="10" t="s">
        <v>87</v>
      </c>
      <c r="BJ86" s="2" t="s">
        <v>116</v>
      </c>
    </row>
    <row r="87" spans="1:62" x14ac:dyDescent="0.2">
      <c r="A87" s="3">
        <v>2008</v>
      </c>
      <c r="B87" s="7" t="s">
        <v>88</v>
      </c>
      <c r="C87" s="5">
        <v>1003845358</v>
      </c>
      <c r="D87" s="6">
        <f t="shared" ref="D87:D90" si="20">C87*1.496</f>
        <v>1501752655.5680001</v>
      </c>
      <c r="E87" s="8">
        <v>0.94</v>
      </c>
      <c r="F87" s="8">
        <v>0.94</v>
      </c>
      <c r="G87" s="8">
        <f t="shared" si="15"/>
        <v>0</v>
      </c>
      <c r="H87" s="8">
        <f t="shared" si="16"/>
        <v>0</v>
      </c>
      <c r="I87" s="3" t="s">
        <v>116</v>
      </c>
      <c r="J87" s="3" t="s">
        <v>122</v>
      </c>
      <c r="S87" s="10"/>
      <c r="T87" s="2"/>
      <c r="U87" s="11"/>
      <c r="BH87" s="3">
        <v>85</v>
      </c>
      <c r="BI87" s="10">
        <v>2012</v>
      </c>
      <c r="BJ87" s="2" t="s">
        <v>117</v>
      </c>
    </row>
    <row r="88" spans="1:62" x14ac:dyDescent="0.2">
      <c r="A88" s="3">
        <v>2008</v>
      </c>
      <c r="B88" s="7" t="s">
        <v>89</v>
      </c>
      <c r="C88" s="5">
        <v>786636033</v>
      </c>
      <c r="D88" s="6">
        <f t="shared" si="20"/>
        <v>1176807505.368</v>
      </c>
      <c r="E88" s="8">
        <v>0.78</v>
      </c>
      <c r="F88" s="8">
        <v>0.54</v>
      </c>
      <c r="G88" s="8">
        <f t="shared" si="15"/>
        <v>-0.24</v>
      </c>
      <c r="H88" s="8">
        <f t="shared" si="16"/>
        <v>0.24</v>
      </c>
      <c r="I88" s="3" t="s">
        <v>116</v>
      </c>
      <c r="J88" s="3" t="s">
        <v>123</v>
      </c>
      <c r="S88" s="10"/>
      <c r="T88" s="2"/>
      <c r="U88" s="11"/>
      <c r="BH88" s="3">
        <v>86</v>
      </c>
      <c r="BI88" s="10" t="s">
        <v>88</v>
      </c>
      <c r="BJ88" s="2" t="s">
        <v>116</v>
      </c>
    </row>
    <row r="89" spans="1:62" x14ac:dyDescent="0.2">
      <c r="A89" s="3">
        <v>2008</v>
      </c>
      <c r="B89" s="7" t="s">
        <v>90</v>
      </c>
      <c r="C89" s="5">
        <v>632037515</v>
      </c>
      <c r="D89" s="6">
        <f t="shared" si="20"/>
        <v>945528122.44000006</v>
      </c>
      <c r="E89" s="8">
        <v>0.87</v>
      </c>
      <c r="F89" s="8">
        <v>0.83</v>
      </c>
      <c r="G89" s="8">
        <f t="shared" si="15"/>
        <v>-4.0000000000000036E-2</v>
      </c>
      <c r="H89" s="8">
        <f t="shared" si="16"/>
        <v>4.0000000000000036E-2</v>
      </c>
      <c r="I89" s="3" t="s">
        <v>117</v>
      </c>
      <c r="J89" s="3" t="s">
        <v>123</v>
      </c>
      <c r="S89" s="10"/>
      <c r="T89" s="2"/>
      <c r="U89" s="11"/>
      <c r="BH89" s="3">
        <v>87</v>
      </c>
      <c r="BI89" s="10" t="s">
        <v>89</v>
      </c>
      <c r="BJ89" s="2" t="s">
        <v>116</v>
      </c>
    </row>
    <row r="90" spans="1:62" x14ac:dyDescent="0.2">
      <c r="A90" s="3">
        <v>2008</v>
      </c>
      <c r="B90" s="7" t="s">
        <v>91</v>
      </c>
      <c r="C90" s="5">
        <v>629443428</v>
      </c>
      <c r="D90" s="6">
        <f t="shared" si="20"/>
        <v>941647368.28799999</v>
      </c>
      <c r="E90" s="8">
        <v>0.41</v>
      </c>
      <c r="F90" s="8">
        <v>0.59</v>
      </c>
      <c r="G90" s="8">
        <f t="shared" si="15"/>
        <v>0.18</v>
      </c>
      <c r="H90" s="8">
        <f t="shared" si="16"/>
        <v>0.18</v>
      </c>
      <c r="I90" s="3" t="s">
        <v>117</v>
      </c>
      <c r="J90" s="3" t="s">
        <v>122</v>
      </c>
      <c r="S90" s="10"/>
      <c r="T90" s="2"/>
      <c r="U90" s="11"/>
      <c r="BH90" s="3">
        <v>88</v>
      </c>
      <c r="BI90" s="10" t="s">
        <v>90</v>
      </c>
      <c r="BJ90" s="2" t="s">
        <v>117</v>
      </c>
    </row>
    <row r="91" spans="1:62" x14ac:dyDescent="0.2">
      <c r="A91" s="3">
        <v>2008</v>
      </c>
      <c r="B91" s="7" t="s">
        <v>92</v>
      </c>
      <c r="C91" s="5">
        <v>610002542</v>
      </c>
      <c r="D91" s="6">
        <f>C91*1.496</f>
        <v>912563802.83200002</v>
      </c>
      <c r="E91" s="8">
        <v>0.55000000000000004</v>
      </c>
      <c r="F91" s="8">
        <v>0.66</v>
      </c>
      <c r="G91" s="8">
        <f t="shared" si="15"/>
        <v>0.10999999999999999</v>
      </c>
      <c r="H91" s="8">
        <f t="shared" si="16"/>
        <v>0.10999999999999999</v>
      </c>
      <c r="I91" s="3" t="s">
        <v>116</v>
      </c>
      <c r="J91" s="3" t="s">
        <v>131</v>
      </c>
      <c r="S91" s="10"/>
      <c r="T91" s="2"/>
      <c r="U91" s="11"/>
      <c r="BH91" s="3">
        <v>89</v>
      </c>
      <c r="BI91" s="10" t="s">
        <v>91</v>
      </c>
      <c r="BJ91" s="2" t="s">
        <v>117</v>
      </c>
    </row>
    <row r="92" spans="1:62" x14ac:dyDescent="0.2">
      <c r="A92" s="3">
        <v>2007</v>
      </c>
      <c r="B92" s="7" t="s">
        <v>93</v>
      </c>
      <c r="C92" s="5">
        <v>960996492</v>
      </c>
      <c r="D92" s="6">
        <f t="shared" ref="D92:D95" si="21">C92*1.554</f>
        <v>1493388548.5680001</v>
      </c>
      <c r="E92" s="8">
        <v>0.43</v>
      </c>
      <c r="F92" s="8">
        <v>0.72</v>
      </c>
      <c r="G92" s="8">
        <f t="shared" si="15"/>
        <v>0.28999999999999998</v>
      </c>
      <c r="H92" s="8">
        <f t="shared" si="16"/>
        <v>0.28999999999999998</v>
      </c>
      <c r="I92" s="3" t="s">
        <v>116</v>
      </c>
      <c r="J92" s="3" t="s">
        <v>129</v>
      </c>
      <c r="S92" s="10"/>
      <c r="T92" s="2"/>
      <c r="U92" s="11"/>
      <c r="BH92" s="3">
        <v>90</v>
      </c>
      <c r="BI92" s="10" t="s">
        <v>92</v>
      </c>
      <c r="BJ92" s="2" t="s">
        <v>117</v>
      </c>
    </row>
    <row r="93" spans="1:62" x14ac:dyDescent="0.2">
      <c r="A93" s="3">
        <v>2007</v>
      </c>
      <c r="B93" s="7" t="s">
        <v>94</v>
      </c>
      <c r="C93" s="5">
        <v>938212738</v>
      </c>
      <c r="D93" s="6">
        <f t="shared" si="21"/>
        <v>1457982594.852</v>
      </c>
      <c r="E93" s="8">
        <v>0.78</v>
      </c>
      <c r="F93" s="8">
        <v>0.81</v>
      </c>
      <c r="G93" s="8">
        <f t="shared" si="15"/>
        <v>3.0000000000000027E-2</v>
      </c>
      <c r="H93" s="8">
        <f t="shared" si="16"/>
        <v>3.0000000000000027E-2</v>
      </c>
      <c r="I93" s="3" t="s">
        <v>116</v>
      </c>
      <c r="J93" s="3" t="s">
        <v>128</v>
      </c>
      <c r="S93" s="10"/>
      <c r="T93" s="2"/>
      <c r="U93" s="11"/>
      <c r="BH93" s="3">
        <v>91</v>
      </c>
      <c r="BI93" s="10" t="s">
        <v>93</v>
      </c>
      <c r="BJ93" s="2" t="s">
        <v>116</v>
      </c>
    </row>
    <row r="94" spans="1:62" x14ac:dyDescent="0.2">
      <c r="A94" s="3">
        <v>2007</v>
      </c>
      <c r="B94" s="7" t="s">
        <v>95</v>
      </c>
      <c r="C94" s="5">
        <v>885837026</v>
      </c>
      <c r="D94" s="6">
        <f t="shared" si="21"/>
        <v>1376590738.404</v>
      </c>
      <c r="E94" s="8">
        <v>0.62</v>
      </c>
      <c r="F94" s="8">
        <v>0.51</v>
      </c>
      <c r="G94" s="8">
        <f t="shared" si="15"/>
        <v>-0.10999999999999999</v>
      </c>
      <c r="H94" s="8">
        <f t="shared" si="16"/>
        <v>0.10999999999999999</v>
      </c>
      <c r="I94" s="3" t="s">
        <v>116</v>
      </c>
      <c r="J94" s="3" t="s">
        <v>122</v>
      </c>
      <c r="K94" s="1"/>
      <c r="L94" s="13"/>
      <c r="S94" s="10"/>
      <c r="T94" s="2"/>
      <c r="U94" s="11"/>
      <c r="BH94" s="3">
        <v>92</v>
      </c>
      <c r="BI94" s="10" t="s">
        <v>94</v>
      </c>
      <c r="BJ94" s="2" t="s">
        <v>116</v>
      </c>
    </row>
    <row r="95" spans="1:62" x14ac:dyDescent="0.2">
      <c r="A95" s="3">
        <v>2007</v>
      </c>
      <c r="B95" s="7" t="s">
        <v>96</v>
      </c>
      <c r="C95" s="5">
        <v>808310187</v>
      </c>
      <c r="D95" s="6">
        <f t="shared" si="21"/>
        <v>1256114030.598</v>
      </c>
      <c r="E95" s="8">
        <v>0.42</v>
      </c>
      <c r="F95" s="8">
        <v>0.52</v>
      </c>
      <c r="G95" s="8">
        <f t="shared" si="15"/>
        <v>0.10000000000000003</v>
      </c>
      <c r="H95" s="8">
        <f t="shared" si="16"/>
        <v>0.10000000000000003</v>
      </c>
      <c r="I95" s="3" t="s">
        <v>116</v>
      </c>
      <c r="J95" s="3" t="s">
        <v>123</v>
      </c>
      <c r="K95" s="1"/>
      <c r="L95" s="13"/>
      <c r="S95" s="10"/>
      <c r="T95" s="2"/>
      <c r="U95" s="11"/>
      <c r="BH95" s="3">
        <v>93</v>
      </c>
      <c r="BI95" s="10" t="s">
        <v>95</v>
      </c>
      <c r="BJ95" s="2" t="s">
        <v>116</v>
      </c>
    </row>
    <row r="96" spans="1:62" x14ac:dyDescent="0.2">
      <c r="A96" s="3">
        <v>2007</v>
      </c>
      <c r="B96" s="7" t="s">
        <v>97</v>
      </c>
      <c r="C96" s="5">
        <v>709709780</v>
      </c>
      <c r="D96" s="6">
        <f>C96*1.554</f>
        <v>1102888998.1200001</v>
      </c>
      <c r="E96" s="8">
        <v>0.56999999999999995</v>
      </c>
      <c r="F96" s="8">
        <v>0.85</v>
      </c>
      <c r="G96" s="8">
        <f t="shared" si="15"/>
        <v>0.28000000000000003</v>
      </c>
      <c r="H96" s="8">
        <f t="shared" si="16"/>
        <v>0.28000000000000003</v>
      </c>
      <c r="I96" s="3" t="s">
        <v>116</v>
      </c>
      <c r="J96" s="3" t="s">
        <v>122</v>
      </c>
      <c r="K96" s="1"/>
      <c r="L96" s="13"/>
      <c r="S96" s="10"/>
      <c r="T96" s="2"/>
      <c r="U96" s="11"/>
      <c r="BH96" s="3">
        <v>94</v>
      </c>
      <c r="BI96" s="10" t="s">
        <v>96</v>
      </c>
      <c r="BJ96" s="2" t="s">
        <v>116</v>
      </c>
    </row>
    <row r="97" spans="1:62" x14ac:dyDescent="0.2">
      <c r="A97" s="3">
        <v>2006</v>
      </c>
      <c r="B97" s="7" t="s">
        <v>98</v>
      </c>
      <c r="C97" s="5">
        <v>1066179725</v>
      </c>
      <c r="D97" s="6">
        <f t="shared" ref="D97:D100" si="22">C97*1.598</f>
        <v>1703755200.5500002</v>
      </c>
      <c r="E97" s="12">
        <v>0.53500000000000003</v>
      </c>
      <c r="F97" s="8">
        <v>0.72</v>
      </c>
      <c r="G97" s="8">
        <f t="shared" si="15"/>
        <v>0.18499999999999994</v>
      </c>
      <c r="H97" s="8">
        <f t="shared" si="16"/>
        <v>0.18499999999999994</v>
      </c>
      <c r="I97" s="3" t="s">
        <v>116</v>
      </c>
      <c r="J97" s="3" t="s">
        <v>129</v>
      </c>
      <c r="K97" s="1"/>
      <c r="L97" s="13"/>
      <c r="S97" s="10"/>
      <c r="T97" s="2"/>
      <c r="U97" s="11"/>
      <c r="BH97" s="3">
        <v>95</v>
      </c>
      <c r="BI97" s="10" t="s">
        <v>97</v>
      </c>
      <c r="BJ97" s="2" t="s">
        <v>117</v>
      </c>
    </row>
    <row r="98" spans="1:62" x14ac:dyDescent="0.2">
      <c r="A98" s="3">
        <v>2006</v>
      </c>
      <c r="B98" s="7" t="s">
        <v>99</v>
      </c>
      <c r="C98" s="5">
        <v>760006945</v>
      </c>
      <c r="D98" s="6">
        <f t="shared" si="22"/>
        <v>1214491098.1100001</v>
      </c>
      <c r="E98" s="12">
        <v>0.255</v>
      </c>
      <c r="F98" s="8">
        <v>0.56999999999999995</v>
      </c>
      <c r="G98" s="8">
        <f t="shared" si="15"/>
        <v>0.31499999999999995</v>
      </c>
      <c r="H98" s="8">
        <f t="shared" si="16"/>
        <v>0.31499999999999995</v>
      </c>
      <c r="I98" s="3" t="s">
        <v>116</v>
      </c>
      <c r="J98" s="3" t="s">
        <v>132</v>
      </c>
      <c r="S98" s="10"/>
      <c r="T98" s="2"/>
      <c r="U98" s="11"/>
      <c r="BH98" s="3">
        <v>96</v>
      </c>
      <c r="BI98" s="10" t="s">
        <v>98</v>
      </c>
      <c r="BJ98" s="2" t="s">
        <v>116</v>
      </c>
    </row>
    <row r="99" spans="1:62" x14ac:dyDescent="0.2">
      <c r="A99" s="3">
        <v>2006</v>
      </c>
      <c r="B99" s="7" t="s">
        <v>100</v>
      </c>
      <c r="C99" s="5">
        <v>660940780</v>
      </c>
      <c r="D99" s="6">
        <f t="shared" si="22"/>
        <v>1056183366.4400001</v>
      </c>
      <c r="E99" s="12">
        <v>0.56499999999999995</v>
      </c>
      <c r="F99" s="8">
        <v>0.71</v>
      </c>
      <c r="G99" s="8">
        <f t="shared" si="15"/>
        <v>0.14500000000000002</v>
      </c>
      <c r="H99" s="8">
        <f t="shared" si="16"/>
        <v>0.14500000000000002</v>
      </c>
      <c r="I99" s="3" t="s">
        <v>116</v>
      </c>
      <c r="J99" s="3" t="s">
        <v>123</v>
      </c>
      <c r="S99" s="10"/>
      <c r="T99" s="2"/>
      <c r="U99" s="11"/>
      <c r="BH99" s="3">
        <v>97</v>
      </c>
      <c r="BI99" s="10" t="s">
        <v>99</v>
      </c>
      <c r="BJ99" s="2" t="s">
        <v>117</v>
      </c>
    </row>
    <row r="100" spans="1:62" x14ac:dyDescent="0.2">
      <c r="A100" s="3">
        <v>2006</v>
      </c>
      <c r="B100" s="7" t="s">
        <v>101</v>
      </c>
      <c r="C100" s="5">
        <v>606000798</v>
      </c>
      <c r="D100" s="6">
        <f t="shared" si="22"/>
        <v>968389275.204</v>
      </c>
      <c r="E100" s="8">
        <v>0.94</v>
      </c>
      <c r="F100" s="8">
        <v>0.9</v>
      </c>
      <c r="G100" s="8">
        <f t="shared" si="15"/>
        <v>-3.9999999999999925E-2</v>
      </c>
      <c r="H100" s="8">
        <f t="shared" si="16"/>
        <v>3.9999999999999925E-2</v>
      </c>
      <c r="I100" s="3" t="s">
        <v>116</v>
      </c>
      <c r="J100" s="3" t="s">
        <v>122</v>
      </c>
      <c r="S100" s="10"/>
      <c r="T100" s="2"/>
      <c r="U100" s="11"/>
      <c r="BH100" s="3">
        <v>98</v>
      </c>
      <c r="BI100" s="10" t="s">
        <v>100</v>
      </c>
      <c r="BJ100" s="2" t="s">
        <v>116</v>
      </c>
    </row>
    <row r="101" spans="1:62" x14ac:dyDescent="0.2">
      <c r="A101" s="3">
        <v>2006</v>
      </c>
      <c r="B101" s="7" t="s">
        <v>102</v>
      </c>
      <c r="C101" s="5">
        <v>574480841</v>
      </c>
      <c r="D101" s="6">
        <f>C101*1.598</f>
        <v>918020383.9180001</v>
      </c>
      <c r="E101" s="8">
        <v>0.43</v>
      </c>
      <c r="F101" s="8">
        <v>0.67</v>
      </c>
      <c r="G101" s="8">
        <f>F101-E101</f>
        <v>0.24000000000000005</v>
      </c>
      <c r="H101" s="8">
        <f t="shared" si="16"/>
        <v>0.24000000000000005</v>
      </c>
      <c r="I101" s="3" t="s">
        <v>117</v>
      </c>
      <c r="J101" s="3" t="s">
        <v>123</v>
      </c>
      <c r="S101" s="10"/>
      <c r="T101" s="2"/>
      <c r="U101" s="11"/>
      <c r="BH101" s="3">
        <v>99</v>
      </c>
      <c r="BI101" s="10" t="s">
        <v>101</v>
      </c>
      <c r="BJ101" s="2" t="s">
        <v>116</v>
      </c>
    </row>
    <row r="102" spans="1:62" x14ac:dyDescent="0.2">
      <c r="BH102" s="3">
        <v>100</v>
      </c>
      <c r="BI102" s="10" t="s">
        <v>102</v>
      </c>
      <c r="BJ102" s="2" t="s">
        <v>117</v>
      </c>
    </row>
  </sheetData>
  <hyperlinks>
    <hyperlink ref="B2" r:id="rId1" display="https://www.boxofficemojo.com/releasegroup/gr2405716741/?ref_=bo_ydw_table_1" xr:uid="{1C7EE56E-05A8-584F-A053-C978F5E909F5}"/>
    <hyperlink ref="B3" r:id="rId2" display="https://www.boxofficemojo.com/releasegroup/gr2845135365/?ref_=bo_ydw_table_2" xr:uid="{1313316A-4B2B-8042-A56C-56C8992A6EC1}"/>
    <hyperlink ref="B4" r:id="rId3" display="https://www.boxofficemojo.com/releasegroup/gr2771014149/?ref_=bo_ydw_table_3" xr:uid="{D5D2E433-2553-6B4E-9853-2A971DB218E2}"/>
    <hyperlink ref="B5" r:id="rId4" display="https://www.boxofficemojo.com/releasegroup/gr1868714757/?ref_=bo_ydw_table_4" xr:uid="{D909EA3F-583F-2B47-BEEF-5AA08E9AB92B}"/>
    <hyperlink ref="B6" r:id="rId5" display="https://www.boxofficemojo.com/releasegroup/gr1926910469/?ref_=bo_ydw_table_5" xr:uid="{B96383F4-56AC-3C45-BD12-F4D9EE87CA5A}"/>
    <hyperlink ref="B7" r:id="rId6" display="https://www.boxofficemojo.com/releasegroup/gr2474856965/?ref_=bo_ydw_table_1" xr:uid="{072BA01E-9D32-4C44-9B92-BC1525E9E042}"/>
    <hyperlink ref="B8" r:id="rId7" display="https://www.boxofficemojo.com/releasegroup/gr1015239173/?ref_=bo_ydw_table_2" xr:uid="{89E22FBA-6D22-4147-AFE9-CEFCF8F72C8D}"/>
    <hyperlink ref="B9" r:id="rId8" display="https://www.boxofficemojo.com/releasegroup/gr3446166277/?ref_=bo_ydw_table_3" xr:uid="{5EBA2B9E-3533-C741-8F89-65EA49A60C8A}"/>
    <hyperlink ref="B10" r:id="rId9" display="https://www.boxofficemojo.com/releasegroup/gr1052004869/?ref_=bo_ydw_table_4" xr:uid="{2ABDC1A9-0153-A14F-95FE-41A4C704269F}"/>
    <hyperlink ref="B11" r:id="rId10" display="https://www.boxofficemojo.com/releasegroup/gr2907984389/?ref_=bo_ydw_table_5" xr:uid="{4DCB59D3-1660-AC4D-839B-3E0D0D1E710D}"/>
    <hyperlink ref="B13" r:id="rId11" display="https://www.boxofficemojo.com/releasegroup/gr2226213381/?ref_=bo_ydw_table_2" xr:uid="{9F80EE4B-496D-374A-819D-463F3629B218}"/>
    <hyperlink ref="B14" r:id="rId12" display="https://www.boxofficemojo.com/releasegroup/gr531714565/?ref_=bo_ydw_table_3" xr:uid="{523A18F8-6B57-5E45-8340-F33FB97F93FA}"/>
    <hyperlink ref="B15" r:id="rId13" display="https://www.boxofficemojo.com/releasegroup/gr1455378949/?ref_=bo_ydw_table_4" xr:uid="{09647E03-24E6-8E41-8E40-0E13F3322A8E}"/>
    <hyperlink ref="B16" r:id="rId14" display="https://www.boxofficemojo.com/releasegroup/gr1410486789/?ref_=bo_ydw_table_5" xr:uid="{B0A79EED-0FE6-4B49-9433-9E1AAEC7855F}"/>
    <hyperlink ref="B12" r:id="rId15" display="https://www.boxofficemojo.com/releasegroup/gr629756421/?ref_=bo_ydw_table_1" xr:uid="{7B394CC9-27B6-2645-BEEF-CAB643CD8651}"/>
    <hyperlink ref="B17" r:id="rId16" display="https://www.boxofficemojo.com/releasegroup/gr1943818757/?ref_=bo_ydw_table_1" xr:uid="{8CE4A0C2-84D7-974D-B6DC-D91D3E76856F}"/>
    <hyperlink ref="B18" r:id="rId17" display="https://www.boxofficemojo.com/releasegroup/gr1928614405/?ref_=bo_ydw_table_2" xr:uid="{94E757AB-D5CF-8A40-9967-CD79DA1A5876}"/>
    <hyperlink ref="B19" r:id="rId18" display="https://www.boxofficemojo.com/releasegroup/gr1700221445/?ref_=bo_ydw_table_3" xr:uid="{339F1F8A-1073-2A48-AE58-FC959155636B}"/>
    <hyperlink ref="B20" r:id="rId19" display="https://www.boxofficemojo.com/releasegroup/gr535450117/?ref_=bo_ydw_table_4" xr:uid="{3215E5C6-B0E3-AC4C-9680-DEC4C1C3DEEB}"/>
    <hyperlink ref="B21" r:id="rId20" display="https://www.boxofficemojo.com/releasegroup/gr101863941/?ref_=bo_ydw_table_5" xr:uid="{F7AA65D0-7BC8-FD41-BCA2-0C510A09B14F}"/>
    <hyperlink ref="B22" r:id="rId21" display="https://www.boxofficemojo.com/releasegroup/gr3957150213/?ref_=bo_ydw_table_1" xr:uid="{9F3CF286-CDFD-C440-B799-8BFAAAEF3D88}"/>
    <hyperlink ref="B23" r:id="rId22" display="https://www.boxofficemojo.com/releasegroup/gr3283177989/?ref_=bo_ydw_table_2" xr:uid="{4CC55C1E-E977-A045-8B3D-9067852304D3}"/>
    <hyperlink ref="B24" r:id="rId23" display="https://www.boxofficemojo.com/releasegroup/gr565793285/?ref_=bo_ydw_table_3" xr:uid="{71049C8F-0440-904F-8983-4F0059F549FA}"/>
    <hyperlink ref="B25" r:id="rId24" display="https://www.boxofficemojo.com/releasegroup/gr1812943365/?ref_=bo_ydw_table_4" xr:uid="{735E4112-13A6-0E42-9CA5-EC922A024BF6}"/>
    <hyperlink ref="B26" r:id="rId25" display="https://www.boxofficemojo.com/releasegroup/gr1590448645/?ref_=bo_ydw_table_5" xr:uid="{992668FA-1D7D-ED47-AED8-CF1D683F81A9}"/>
    <hyperlink ref="B27" r:id="rId26" display="https://www.boxofficemojo.com/releasegroup/gr2409976325/?ref_=bo_ydw_table_1" xr:uid="{F8EB204F-CFD7-BC4C-904E-96A93AF1D169}"/>
    <hyperlink ref="B28" r:id="rId27" display="https://www.boxofficemojo.com/releasegroup/gr832590341/?ref_=bo_ydw_table_2" xr:uid="{05412EC1-042D-BF49-9766-E280E792E0AB}"/>
    <hyperlink ref="B30" r:id="rId28" display="https://www.boxofficemojo.com/releasegroup/gr1571181061/?ref_=bo_ydw_table_4" xr:uid="{9F668C8F-BAFB-4645-88F7-0257853F23BD}"/>
    <hyperlink ref="B29" r:id="rId29" display="https://www.boxofficemojo.com/releasegroup/gr3944174085/?ref_=bo_ydw_table_3" xr:uid="{42B47CA7-1FBF-1A40-ADA2-7102A04E2475}"/>
    <hyperlink ref="B31" r:id="rId30" display="https://www.boxofficemojo.com/releasegroup/gr418796037/?ref_=bo_ydw_table_5" xr:uid="{8D94B93C-4CCE-B34F-A9D8-BF254921720E}"/>
    <hyperlink ref="B32" r:id="rId31" display="https://www.boxofficemojo.com/releasegroup/gr3511898629/?ref_=bo_ydw_table_1" xr:uid="{6668C84E-9A2C-F045-8D80-B22A48183B77}"/>
    <hyperlink ref="B33" r:id="rId32" display="https://www.boxofficemojo.com/releasegroup/gr403788293/?ref_=bo_ydw_table_2" xr:uid="{6A710DF1-D056-134E-9153-7246EA59C32B}"/>
    <hyperlink ref="B34" r:id="rId33" display="https://www.boxofficemojo.com/releasegroup/gr1030181381/?ref_=bo_ydw_table_3" xr:uid="{A204A7DA-28BC-B44D-977A-8021512954E7}"/>
    <hyperlink ref="B35" r:id="rId34" display="https://www.boxofficemojo.com/releasegroup/gr1825526277/?ref_=bo_ydw_table_4" xr:uid="{0938C961-27B7-7341-BD1D-98AD6E06EB20}"/>
    <hyperlink ref="B36" r:id="rId35" display="https://www.boxofficemojo.com/releasegroup/gr3085718021/?ref_=bo_ydw_table_5" xr:uid="{F0D1B873-977B-974D-BF98-1C3C9C6D157A}"/>
    <hyperlink ref="B37" r:id="rId36" display="https://www.boxofficemojo.com/releasegroup/gr3915469317/?ref_=bo_ydw_table_1" xr:uid="{296A9721-5DA4-FC4A-B1AC-D27614D18D91}"/>
    <hyperlink ref="B38" r:id="rId37" display="https://www.boxofficemojo.com/releasegroup/gr3458290181/?ref_=bo_ydw_table_2" xr:uid="{CA1D70B9-33A1-D241-905A-FB66B12A7F06}"/>
    <hyperlink ref="B39" r:id="rId38" display="https://www.boxofficemojo.com/releasegroup/gr3108917765/?ref_=bo_ydw_table_3" xr:uid="{F21C10BB-D2C6-8347-9718-DB4FE107E49F}"/>
    <hyperlink ref="B40" r:id="rId39" display="https://www.boxofficemojo.com/releasegroup/gr2507690501/?ref_=bo_ydw_table_4" xr:uid="{DB0F1D40-E564-0F4F-9C7D-40A5460C28AA}"/>
    <hyperlink ref="B41" r:id="rId40" display="https://www.boxofficemojo.com/releasegroup/gr1903186437/?ref_=bo_ydw_table_5" xr:uid="{1A3CCE7F-6B3A-ED41-B512-13D85C159915}"/>
    <hyperlink ref="B42" r:id="rId41" display="https://www.boxofficemojo.com/releasegroup/gr3764736517/?ref_=bo_ydw_table_1" xr:uid="{F1465150-CDB5-6545-8A9F-B8CADCB2F400}"/>
    <hyperlink ref="B43" r:id="rId42" display="https://www.boxofficemojo.com/releasegroup/gr1429688837/?ref_=bo_ydw_table_2" xr:uid="{D81FE7B5-7F94-F34B-A9D2-9656C78FBBE0}"/>
    <hyperlink ref="B44" r:id="rId43" display="https://www.boxofficemojo.com/releasegroup/gr38949381/?ref_=bo_ydw_table_3" xr:uid="{ACD58C01-DEC4-D64E-9BA7-41D9D52F51DF}"/>
    <hyperlink ref="B45" r:id="rId44" display="https://www.boxofficemojo.com/releasegroup/gr1982484997/?ref_=bo_ydw_table_4" xr:uid="{EA40362D-2E8A-6D43-8747-9B7DC67AAB41}"/>
    <hyperlink ref="B46" r:id="rId45" display="https://www.boxofficemojo.com/releasegroup/gr2130465285/?ref_=bo_ydw_table_5" xr:uid="{0611C3F9-FB36-9843-9165-9B3FAF7248F7}"/>
    <hyperlink ref="B47" r:id="rId46" display="https://www.boxofficemojo.com/releasegroup/gr2136297989/?ref_=bo_ydw_table_1" xr:uid="{6F4F024A-4046-F542-BD42-167FB8E91BC5}"/>
    <hyperlink ref="B48" r:id="rId47" display="https://www.boxofficemojo.com/releasegroup/gr384520709/?ref_=bo_ydw_table_2" xr:uid="{E11044E2-B76E-F943-9003-0AAAA6AC115F}"/>
    <hyperlink ref="B49" r:id="rId48" display="https://www.boxofficemojo.com/releasegroup/gr1869238789/?ref_=bo_ydw_table_3" xr:uid="{E1750F42-6539-2C4A-83B2-5F62E8DE684D}"/>
    <hyperlink ref="B50" r:id="rId49" display="https://www.boxofficemojo.com/releasegroup/gr1680691717/?ref_=bo_ydw_table_4" xr:uid="{5B4135A0-CB05-7445-A4AF-9DB102492707}"/>
    <hyperlink ref="B51" r:id="rId50" display="https://www.boxofficemojo.com/releasegroup/gr1103385093/?ref_=bo_ydw_table_5" xr:uid="{E5C94312-70EF-9E43-8961-BA8AABB9C655}"/>
    <hyperlink ref="B52" r:id="rId51" display="https://www.boxofficemojo.com/releasegroup/gr3305984517/?ref_=bo_ydw_table_1" xr:uid="{E204DEE4-1CC6-A849-9453-ED4EBD42A3B6}"/>
    <hyperlink ref="B53" r:id="rId52" display="https://www.boxofficemojo.com/releasegroup/gr2960871941/?ref_=bo_ydw_table_2" xr:uid="{6E47B682-A7AB-4143-A0CC-FE14D8B2DB28}"/>
    <hyperlink ref="B54" r:id="rId53" display="https://www.boxofficemojo.com/releasegroup/gr2321306117/?ref_=bo_ydw_table_3" xr:uid="{696D1D60-4C77-7242-B5EA-FF60D40502D7}"/>
    <hyperlink ref="B55" r:id="rId54" display="https://www.boxofficemojo.com/releasegroup/gr1743933957/?ref_=bo_ydw_table_4" xr:uid="{7B85763E-1890-E948-A7EB-467E2E4C8E76}"/>
    <hyperlink ref="B56" r:id="rId55" display="https://www.boxofficemojo.com/releasegroup/gr838095365/?ref_=bo_ydw_table_5" xr:uid="{8B63D478-0917-C84A-A349-F8AC9B53B9FF}"/>
    <hyperlink ref="B57" r:id="rId56" display="https://www.boxofficemojo.com/releasegroup/gr41374213/?ref_=bo_ydw_table_1" xr:uid="{B0881A39-C02D-6546-A19B-8E0547A9A4B9}"/>
    <hyperlink ref="B58" r:id="rId57" display="https://www.boxofficemojo.com/releasegroup/gr147673605/?ref_=bo_ydw_table_2" xr:uid="{3F94CCBF-7E10-0B49-B50A-9C4EE152533E}"/>
    <hyperlink ref="B59" r:id="rId58" display="https://www.boxofficemojo.com/releasegroup/gr2312655365/?ref_=bo_ydw_table_3" xr:uid="{8EDE0EC2-9768-FA4C-8FC6-DB628B61B8E2}"/>
    <hyperlink ref="B60" r:id="rId59" display="https://www.boxofficemojo.com/releasegroup/gr4064301573/?ref_=bo_ydw_table_4" xr:uid="{7748496E-FFB6-F040-B931-DC40E11A54F5}"/>
    <hyperlink ref="B61" r:id="rId60" display="https://www.boxofficemojo.com/releasegroup/gr3034403333/?ref_=bo_ydw_table_5" xr:uid="{E9183A5A-D246-3A4F-92EE-9D6B8B18C986}"/>
    <hyperlink ref="B62" r:id="rId61" display="https://www.boxofficemojo.com/releasegroup/gr1177113093/?ref_=bo_ydw_table_1" xr:uid="{BDD8009D-DC94-AD4D-9C35-E41B704B885B}"/>
    <hyperlink ref="B63" r:id="rId62" display="https://www.boxofficemojo.com/releasegroup/gr3316142597/?ref_=bo_ydw_table_2" xr:uid="{0E868E63-18A4-E34F-AA50-EE01214EAC13}"/>
    <hyperlink ref="B64" r:id="rId63" display="https://www.boxofficemojo.com/releasegroup/gr3123335685/?ref_=bo_ydw_table_3" xr:uid="{A0098C50-6E23-B444-9CF2-A35F1A0039F3}"/>
    <hyperlink ref="B65" r:id="rId64" display="https://www.boxofficemojo.com/releasegroup/gr1101746693/?ref_=bo_ydw_table_4" xr:uid="{D6E525BA-CD32-9C4C-8718-0359509E9467}"/>
    <hyperlink ref="B66" r:id="rId65" display="https://www.boxofficemojo.com/releasegroup/gr150950405/?ref_=bo_ydw_table_5" xr:uid="{00C8CF5F-88BD-494D-B039-F8CADF155720}"/>
    <hyperlink ref="B67" r:id="rId66" display="https://www.boxofficemojo.com/releasegroup/gr1911837189/?ref_=bo_ydw_table_1" xr:uid="{B7D435E4-F91C-2F4F-9B04-86BACFE1230B}"/>
    <hyperlink ref="B68" r:id="rId67" display="https://www.boxofficemojo.com/releasegroup/gr2379174405/?ref_=bo_ydw_table_2" xr:uid="{DEABF72B-AB6D-0946-98AC-772DF29DB551}"/>
    <hyperlink ref="B69" r:id="rId68" display="https://www.boxofficemojo.com/releasegroup/gr808210949/?ref_=bo_ydw_table_3" xr:uid="{64D3730E-2043-934C-A5D9-B94EEFF8D5A3}"/>
    <hyperlink ref="B70" r:id="rId69" display="https://www.boxofficemojo.com/releasegroup/gr769020421/?ref_=bo_ydw_table_4" xr:uid="{177F90BE-7B12-C043-B9CF-6ABED1E48202}"/>
    <hyperlink ref="B71" r:id="rId70" display="https://www.boxofficemojo.com/releasegroup/gr1428443653/?ref_=bo_ydw_table_5" xr:uid="{889AB054-0502-8A4A-8A8F-178A872A921D}"/>
    <hyperlink ref="B72" r:id="rId71" display="https://www.boxofficemojo.com/releasegroup/gr2033603077/?ref_=bo_ydw_table_1" xr:uid="{5452B612-07A2-F24C-B5DA-FD161756FB9C}"/>
    <hyperlink ref="B73" r:id="rId72" display="https://www.boxofficemojo.com/releasegroup/gr6312453/?ref_=bo_ydw_table_2" xr:uid="{D010EEA2-4CB0-ED47-BEE7-78E3DD6671FF}"/>
    <hyperlink ref="B74" r:id="rId73" display="https://www.boxofficemojo.com/releasegroup/gr2121159173/?ref_=bo_ydw_table_3" xr:uid="{52DA4F54-ADE6-724D-AA13-2434A233A828}"/>
    <hyperlink ref="B75" r:id="rId74" display="https://www.boxofficemojo.com/releasegroup/gr205607429/?ref_=bo_ydw_table_4" xr:uid="{F3085FE6-7BA8-DA4F-BE25-B1E23533F253}"/>
    <hyperlink ref="B76" r:id="rId75" display="https://www.boxofficemojo.com/releasegroup/gr2708492805/?ref_=bo_ydw_table_5" xr:uid="{6C348BFF-AB71-6842-9943-DA03C29AE965}"/>
    <hyperlink ref="B77" r:id="rId76" display="https://www.boxofficemojo.com/releasegroup/gr87839237/?ref_=bo_ydw_table_1" xr:uid="{59538900-0702-1C4A-A9F9-2C64C688FCCF}"/>
    <hyperlink ref="B78" r:id="rId77" display="https://www.boxofficemojo.com/releasegroup/gr1992577541/?ref_=bo_ydw_table_2" xr:uid="{EA9D0F41-80DA-0040-9629-C9CBB2254D3A}"/>
    <hyperlink ref="B79" r:id="rId78" display="https://www.boxofficemojo.com/releasegroup/gr1728664069/?ref_=bo_ydw_table_3" xr:uid="{FB9594CB-6C80-7246-9803-479E7D5A06EB}"/>
    <hyperlink ref="B80" r:id="rId79" display="https://www.boxofficemojo.com/releasegroup/gr1400852997/?ref_=bo_ydw_table_4" xr:uid="{7739E5C3-7910-D941-B9C6-E03C5F21BD15}"/>
    <hyperlink ref="B81" r:id="rId80" display="https://www.boxofficemojo.com/releasegroup/gr2889241093/?ref_=bo_ydw_table_5" xr:uid="{EB4BEBF1-47F9-A84B-8D6F-3FD036C706E9}"/>
    <hyperlink ref="B82" r:id="rId81" display="https://www.boxofficemojo.com/releasegroup/gr3486798341/?ref_=bo_ydw_table_1" xr:uid="{BD0738F8-4294-2C4A-947F-07A077EC1921}"/>
    <hyperlink ref="B83" r:id="rId82" display="https://www.boxofficemojo.com/releasegroup/gr1638420997/?ref_=bo_ydw_table_2" xr:uid="{FBFFF9CB-EED0-F745-AD3B-349CB36644EE}"/>
    <hyperlink ref="B84" r:id="rId83" display="https://www.boxofficemojo.com/releasegroup/gr3339866629/?ref_=bo_ydw_table_3" xr:uid="{FC9105D5-6EAB-084E-957F-0C3244005A90}"/>
    <hyperlink ref="B85" r:id="rId84" display="https://www.boxofficemojo.com/releasegroup/gr3638907397/?ref_=bo_ydw_table_4" xr:uid="{AB43DEB4-8931-5D4B-A2EB-96CDED2460DB}"/>
    <hyperlink ref="B86" r:id="rId85" display="https://www.boxofficemojo.com/releasegroup/gr1717588485/?ref_=bo_ydw_table_5" xr:uid="{1E189CBA-8717-0844-BEA5-59F7DB941487}"/>
    <hyperlink ref="B87" r:id="rId86" display="https://www.boxofficemojo.com/releasegroup/gr1144476165/?ref_=bo_ydw_table_1" xr:uid="{73B6C8D2-9535-3D4B-B333-C19FBA186983}"/>
    <hyperlink ref="B88" r:id="rId87" display="https://www.boxofficemojo.com/releasegroup/gr4259205637/?ref_=bo_ydw_table_2" xr:uid="{E3C2D996-541D-424D-8F5D-F890C0A9D523}"/>
    <hyperlink ref="B89" r:id="rId88" display="https://www.boxofficemojo.com/releasegroup/gr4251996677/?ref_=bo_ydw_table_3" xr:uid="{BCDB1C4B-BE33-1240-B3BA-74001BC971D7}"/>
    <hyperlink ref="B90" r:id="rId89" display="https://www.boxofficemojo.com/releasegroup/gr3807793669/?ref_=bo_ydw_table_4" xr:uid="{55806F7B-FD09-FA42-94D3-87B102F55B9F}"/>
    <hyperlink ref="B91" r:id="rId90" display="https://www.boxofficemojo.com/releasegroup/gr3714404869/?ref_=bo_ydw_table_5" xr:uid="{BAC911F3-4AAF-3345-A8DF-86782D0BE328}"/>
    <hyperlink ref="B92" r:id="rId91" display="https://www.boxofficemojo.com/releasegroup/gr1460621829/?ref_=bo_ydw_table_1" xr:uid="{2DFD71B3-A766-E04E-AB2B-FF5548D773A3}"/>
    <hyperlink ref="B93" r:id="rId92" display="https://www.boxofficemojo.com/releasegroup/gr1575965189/?ref_=bo_ydw_table_2" xr:uid="{C1A13767-AC3E-B849-9879-8883BF9729B2}"/>
    <hyperlink ref="B94" r:id="rId93" display="https://www.boxofficemojo.com/releasegroup/gr4067512837/?ref_=bo_ydw_table_3" xr:uid="{F314AB16-D158-E447-88F0-71875E62D374}"/>
    <hyperlink ref="B95" r:id="rId94" display="https://www.boxofficemojo.com/releasegroup/gr3119469061/?ref_=bo_ydw_table_4" xr:uid="{C70CC108-A40B-E04A-BE7C-3EE238481B92}"/>
    <hyperlink ref="B96" r:id="rId95" display="https://www.boxofficemojo.com/releasegroup/gr1764905477/?ref_=bo_ydw_table_5" xr:uid="{47E5E2BD-687A-7C49-9783-8D7A20C56192}"/>
    <hyperlink ref="B97" r:id="rId96" display="https://www.boxofficemojo.com/releasegroup/gr2621919749/?ref_=bo_ydw_table_1" xr:uid="{54C14D89-EAA3-1F42-935C-12303ABEC886}"/>
  </hyperlinks>
  <pageMargins left="0.7" right="0.7" top="0.75" bottom="0.75" header="0.3" footer="0.3"/>
  <pageSetup orientation="portrait" horizontalDpi="0" verticalDpi="0"/>
  <drawing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Anastasia Graham</dc:creator>
  <cp:lastModifiedBy>Alana Anastasia Graham</cp:lastModifiedBy>
  <dcterms:created xsi:type="dcterms:W3CDTF">2026-09-30T22:46:41Z</dcterms:created>
  <dcterms:modified xsi:type="dcterms:W3CDTF">2026-10-01T19:10:55Z</dcterms:modified>
</cp:coreProperties>
</file>